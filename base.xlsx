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903BD642-572B-43A3-B7ED-A5BCC80B9B2D}" xr6:coauthVersionLast="47" xr6:coauthVersionMax="47" xr10:uidLastSave="{00000000-0000-0000-0000-000000000000}"/>
  <bookViews>
    <workbookView xWindow="-108" yWindow="-108" windowWidth="23256" windowHeight="12456" activeTab="3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9" i="5" l="1"/>
  <c r="C198" i="5"/>
  <c r="C197" i="5"/>
  <c r="C196" i="5"/>
  <c r="C195" i="5"/>
  <c r="C194" i="5"/>
  <c r="C193" i="5"/>
  <c r="C192" i="5"/>
  <c r="E411" i="3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D6035" i="2"/>
  <c r="D6036" i="2"/>
  <c r="E6036" i="2" s="1"/>
  <c r="D6037" i="2"/>
  <c r="D6038" i="2"/>
  <c r="E6038" i="2" s="1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E6199" i="2" s="1"/>
  <c r="D6200" i="2"/>
  <c r="D6201" i="2"/>
  <c r="D6202" i="2"/>
  <c r="D6203" i="2"/>
  <c r="D6204" i="2"/>
  <c r="E6204" i="2" s="1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E6216" i="2" s="1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E6228" i="2" s="1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E6240" i="2" s="1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E6252" i="2" s="1"/>
  <c r="D6253" i="2"/>
  <c r="D6254" i="2"/>
  <c r="D6255" i="2"/>
  <c r="D6256" i="2"/>
  <c r="D6257" i="2"/>
  <c r="D6258" i="2"/>
  <c r="D6259" i="2"/>
  <c r="E6259" i="2" s="1"/>
  <c r="D6260" i="2"/>
  <c r="D6261" i="2"/>
  <c r="D6262" i="2"/>
  <c r="D6263" i="2"/>
  <c r="D6264" i="2"/>
  <c r="E6264" i="2" s="1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E6276" i="2" s="1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E6300" i="2" s="1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E6312" i="2" s="1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E6324" i="2" s="1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E6336" i="2" s="1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E6348" i="2" s="1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I6056" i="2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I6080" i="2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I6152" i="2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I6164" i="2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I6248" i="2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I6284" i="2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I6308" i="2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I6320" i="2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I6380" i="2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I6464" i="2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I6500" i="2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I6512" i="2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044" i="2"/>
  <c r="J6055" i="2"/>
  <c r="J6056" i="2"/>
  <c r="J6068" i="2"/>
  <c r="J6079" i="2"/>
  <c r="J6080" i="2"/>
  <c r="J6104" i="2"/>
  <c r="J6115" i="2"/>
  <c r="J6128" i="2"/>
  <c r="J6151" i="2"/>
  <c r="J6152" i="2"/>
  <c r="J6163" i="2"/>
  <c r="J6164" i="2"/>
  <c r="J6199" i="2"/>
  <c r="J6211" i="2"/>
  <c r="J6224" i="2"/>
  <c r="J6235" i="2"/>
  <c r="J6236" i="2"/>
  <c r="J6247" i="2"/>
  <c r="J6248" i="2"/>
  <c r="J6283" i="2"/>
  <c r="J6284" i="2"/>
  <c r="J6307" i="2"/>
  <c r="J6308" i="2"/>
  <c r="J6319" i="2"/>
  <c r="J6320" i="2"/>
  <c r="J6331" i="2"/>
  <c r="J6356" i="2"/>
  <c r="J6367" i="2"/>
  <c r="J6368" i="2"/>
  <c r="J6379" i="2"/>
  <c r="J6380" i="2"/>
  <c r="J6391" i="2"/>
  <c r="J6403" i="2"/>
  <c r="J6416" i="2"/>
  <c r="J6428" i="2"/>
  <c r="J6452" i="2"/>
  <c r="J6463" i="2"/>
  <c r="J6464" i="2"/>
  <c r="J6475" i="2"/>
  <c r="J6487" i="2"/>
  <c r="J6499" i="2"/>
  <c r="J6500" i="2"/>
  <c r="J6511" i="2"/>
  <c r="J6512" i="2"/>
  <c r="J6536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1" i="2"/>
  <c r="J5732" i="2"/>
  <c r="J5773" i="2"/>
  <c r="J5863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6034" i="2" l="1"/>
  <c r="E6409" i="2"/>
  <c r="E6397" i="2"/>
  <c r="E6385" i="2"/>
  <c r="E6037" i="2"/>
  <c r="E6035" i="2"/>
  <c r="L6377" i="2"/>
  <c r="L6196" i="2"/>
  <c r="L6463" i="2"/>
  <c r="C6489" i="2"/>
  <c r="E6489" i="2" s="1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45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L6195" i="2" s="1"/>
  <c r="E160" i="3"/>
  <c r="L6511" i="2" s="1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L6470" i="2" s="1"/>
  <c r="E144" i="3"/>
  <c r="L503" i="2" s="1"/>
  <c r="E143" i="3"/>
  <c r="E142" i="3"/>
  <c r="L771" i="2" s="1"/>
  <c r="E141" i="3"/>
  <c r="E140" i="3"/>
  <c r="L6057" i="2" s="1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L6366" i="2" s="1"/>
  <c r="E116" i="3"/>
  <c r="E115" i="3"/>
  <c r="L5461" i="2" s="1"/>
  <c r="E114" i="3"/>
  <c r="E113" i="3"/>
  <c r="L2205" i="2" s="1"/>
  <c r="E112" i="3"/>
  <c r="L6506" i="2" s="1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L6430" i="2" s="1"/>
  <c r="E59" i="3"/>
  <c r="E58" i="3"/>
  <c r="E57" i="3"/>
  <c r="E56" i="3"/>
  <c r="E55" i="3"/>
  <c r="E54" i="3"/>
  <c r="E53" i="3"/>
  <c r="L985" i="2" s="1"/>
  <c r="E52" i="3"/>
  <c r="E51" i="3"/>
  <c r="L6434" i="2" s="1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6226" i="2" l="1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<sst xmlns="http://schemas.openxmlformats.org/spreadsheetml/2006/main" count="13126" uniqueCount="1334">
  <si>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</si>
  <si>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</si>
  <si>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</si>
  <si>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</si>
  <si>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</si>
  <si>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</si>
  <si>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</si>
  <si>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</si>
  <si>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</si>
  <si>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</si>
  <si>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</si>
  <si>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</si>
  <si>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</si>
  <si>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</si>
  <si>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</si>
  <si>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</si>
  <si>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</si>
  <si>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</si>
  <si>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</si>
  <si>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</si>
  <si>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</si>
  <si>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</si>
  <si>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</si>
  <si>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</si>
  <si>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</si>
  <si>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</si>
  <si>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</si>
  <si>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</si>
  <si>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</si>
  <si>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</si>
  <si>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</si>
  <si>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</si>
  <si>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</si>
  <si>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</si>
  <si>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</si>
  <si>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</si>
  <si>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</si>
  <si>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</si>
  <si>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</si>
  <si>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</si>
  <si>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</si>
  <si>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</si>
  <si>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</si>
  <si>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</si>
  <si>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</si>
  <si>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</si>
  <si>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</si>
  <si>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</si>
  <si>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</si>
  <si>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</si>
  <si>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</si>
  <si>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</si>
  <si>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</si>
  <si>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</si>
  <si>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</si>
  <si>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</si>
  <si>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</si>
  <si>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</si>
  <si>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</si>
  <si>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</si>
  <si>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</si>
  <si>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</si>
  <si>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</si>
  <si>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</si>
  <si>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</si>
  <si>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</si>
  <si>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</si>
  <si>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</si>
  <si>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</si>
  <si>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</si>
  <si>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</si>
  <si>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</si>
  <si>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</si>
  <si>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</si>
  <si>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</si>
  <si>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</si>
  <si>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</si>
  <si>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</si>
  <si>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</si>
  <si>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</si>
  <si>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</si>
  <si>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</si>
  <si>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</si>
  <si>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</si>
  <si>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</si>
  <si>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</si>
  <si>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</si>
  <si>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</si>
  <si>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</si>
  <si>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</si>
  <si>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</si>
  <si>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</si>
  <si>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</si>
  <si>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</si>
  <si>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</si>
  <si>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</si>
  <si>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</si>
  <si>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</si>
  <si>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</si>
  <si>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</si>
  <si>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</si>
  <si>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</si>
  <si>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</si>
  <si>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</si>
  <si>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</si>
  <si>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</si>
  <si>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</si>
  <si>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</si>
  <si>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</si>
  <si>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</si>
  <si>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</si>
  <si>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</si>
  <si>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</si>
  <si>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</si>
  <si>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</si>
  <si>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</si>
  <si>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</si>
  <si>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</si>
  <si>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</si>
  <si>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</si>
  <si>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</si>
  <si>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</si>
  <si>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</si>
  <si>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</si>
  <si>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</si>
  <si>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</si>
  <si>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</si>
  <si>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</si>
  <si>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</si>
  <si>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</si>
  <si>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</si>
  <si>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</si>
  <si>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</si>
  <si>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</si>
  <si>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</si>
  <si>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</si>
  <si>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</si>
  <si>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</si>
  <si>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</si>
  <si>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</si>
  <si>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</si>
  <si>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</si>
  <si>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</si>
  <si>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</si>
  <si>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</si>
  <si>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</si>
  <si>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</si>
  <si>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</si>
  <si>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</si>
  <si>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</si>
  <si>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</si>
  <si>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</si>
  <si>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</si>
  <si>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</si>
  <si>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</si>
  <si>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</si>
  <si>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</si>
  <si>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</si>
  <si>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</si>
  <si>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</si>
  <si>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</si>
  <si>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</si>
  <si>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</si>
  <si>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</si>
  <si>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</si>
  <si>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</si>
  <si>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</si>
  <si>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</si>
  <si>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</si>
  <si>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</si>
  <si>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</si>
  <si>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</si>
  <si>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</si>
  <si>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</si>
  <si>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</si>
  <si>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</si>
  <si>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</si>
  <si>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</si>
  <si>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</si>
  <si>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</si>
  <si>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</si>
  <si>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</si>
  <si>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</si>
  <si>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</si>
  <si>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</si>
  <si>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</si>
  <si>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</si>
  <si>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</si>
  <si>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</si>
  <si>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</si>
  <si>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</si>
  <si>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</si>
  <si>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</si>
  <si>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</si>
  <si>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</si>
  <si>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</si>
  <si>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</si>
  <si>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</si>
  <si>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</si>
  <si>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</si>
  <si>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</si>
  <si>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</si>
  <si>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</si>
  <si>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</si>
  <si>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</si>
  <si>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</si>
  <si>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</si>
  <si>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</si>
  <si>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</si>
  <si>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</si>
  <si>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</si>
  <si>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</si>
  <si>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</si>
  <si>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</si>
  <si>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</si>
  <si>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</si>
  <si>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</si>
  <si>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</si>
  <si>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</si>
  <si>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</si>
  <si>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</si>
  <si>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</si>
  <si>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</si>
  <si>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</si>
  <si>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</si>
  <si>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</si>
  <si>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</si>
  <si>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</si>
  <si>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</si>
  <si>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</si>
  <si>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</si>
  <si>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</si>
  <si>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</si>
  <si>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</si>
  <si>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</si>
  <si>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</si>
  <si>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</si>
  <si>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</si>
  <si>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</si>
  <si>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</si>
  <si>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</si>
  <si>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</si>
  <si>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</si>
  <si>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</si>
  <si>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</si>
  <si>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</si>
  <si>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</si>
  <si>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</si>
  <si>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</si>
  <si>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</si>
  <si>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</si>
  <si>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</si>
  <si>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</si>
  <si>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</si>
  <si>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</si>
  <si>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</si>
  <si>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</si>
  <si>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</si>
  <si>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</si>
  <si>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</si>
  <si>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</si>
  <si>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</si>
  <si>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</si>
  <si>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</si>
  <si>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</si>
  <si>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</si>
  <si>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</si>
  <si>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</si>
  <si>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</si>
  <si>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</si>
  <si>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</si>
  <si>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</si>
  <si>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</si>
  <si>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</si>
  <si>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</si>
  <si>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</si>
  <si>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</si>
  <si>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</si>
  <si>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</si>
  <si>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</si>
  <si>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</si>
  <si>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</si>
  <si>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</si>
  <si>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</si>
  <si>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</si>
  <si>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</si>
  <si>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</si>
  <si>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</si>
  <si>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</si>
  <si>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</si>
  <si>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</si>
  <si>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</si>
  <si>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</si>
  <si>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</si>
  <si>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</si>
  <si>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</si>
  <si>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</si>
  <si>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</si>
  <si>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</si>
  <si>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</si>
  <si>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</si>
  <si>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</si>
  <si>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</si>
  <si>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</si>
  <si>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</si>
  <si>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</si>
  <si>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</si>
  <si>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</si>
  <si>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</si>
  <si>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</si>
  <si>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</si>
  <si>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</si>
  <si>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</si>
  <si>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</si>
  <si>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</si>
  <si>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</si>
  <si>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</si>
  <si>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</si>
  <si>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</si>
  <si>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</si>
  <si>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</si>
  <si>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</si>
  <si>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</si>
  <si>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</si>
  <si>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</si>
  <si>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</si>
  <si>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</si>
  <si>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</si>
  <si>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</si>
  <si>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</si>
  <si>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</si>
  <si>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</si>
  <si>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</si>
  <si>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</si>
  <si>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</si>
  <si>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</si>
  <si>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</si>
  <si>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</si>
  <si>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</si>
  <si>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</si>
  <si>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</si>
  <si>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</si>
  <si>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</si>
  <si>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</si>
  <si>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</si>
  <si>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</si>
  <si>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</si>
  <si>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</si>
  <si>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</si>
  <si>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</si>
  <si>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</si>
  <si>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</si>
  <si>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</si>
  <si>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</si>
  <si>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</si>
  <si>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</si>
  <si>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</si>
  <si>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</si>
  <si>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</si>
  <si>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</si>
  <si>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</si>
  <si>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</si>
  <si>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</si>
  <si>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</si>
  <si>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</si>
  <si>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</si>
  <si>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</si>
  <si>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</si>
  <si>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</si>
  <si>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</si>
  <si>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</si>
  <si>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</si>
  <si>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</si>
  <si>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</si>
  <si>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</si>
  <si>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</si>
  <si>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</si>
  <si>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</si>
  <si>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</si>
  <si>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</si>
  <si>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</si>
  <si>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</si>
  <si>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</si>
  <si>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</si>
  <si>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</si>
  <si>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</si>
  <si>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</si>
  <si>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</si>
  <si>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</si>
  <si>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</si>
  <si>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</si>
  <si>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</si>
  <si>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</si>
  <si>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</si>
  <si>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</si>
  <si>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</si>
  <si>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</si>
  <si>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</si>
  <si>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</si>
  <si>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</si>
  <si>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</si>
  <si>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</si>
  <si>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</si>
  <si>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</si>
  <si>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</si>
  <si>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</si>
  <si>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</si>
  <si>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</si>
  <si>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</si>
  <si>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</si>
  <si>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</si>
  <si>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</si>
  <si>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</si>
  <si>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</si>
  <si>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</si>
  <si>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</si>
  <si>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</si>
  <si>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</si>
  <si>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</si>
  <si>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</si>
  <si>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</si>
  <si>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</si>
  <si>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</si>
  <si>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</si>
  <si>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</si>
  <si>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</si>
  <si>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</si>
  <si>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</si>
  <si>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</si>
  <si>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</si>
  <si>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</si>
  <si>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</si>
  <si>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</si>
  <si>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</si>
  <si>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</si>
  <si>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</si>
  <si>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</si>
  <si>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</si>
  <si>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</si>
  <si>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</si>
  <si>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</si>
  <si>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</si>
  <si>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</si>
  <si>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</si>
  <si>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</si>
  <si>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</si>
  <si>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</si>
  <si>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</si>
  <si>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</si>
  <si>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</si>
  <si>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</si>
  <si>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</si>
  <si>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</si>
  <si>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</si>
  <si>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</si>
  <si>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</si>
  <si>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</si>
  <si>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</si>
  <si>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</si>
  <si>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</si>
  <si>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</si>
  <si>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</si>
  <si>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</si>
  <si>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</si>
  <si>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</si>
  <si>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</si>
  <si>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</si>
  <si>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</si>
  <si>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</si>
  <si>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</si>
  <si>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</si>
  <si>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</si>
  <si>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</si>
  <si>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</si>
  <si>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</si>
  <si>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</si>
  <si>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</si>
  <si>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</si>
  <si>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</si>
  <si>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</si>
  <si>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</si>
  <si>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</si>
  <si>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</si>
  <si>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</si>
  <si>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</si>
  <si>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</si>
  <si>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</si>
  <si>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</si>
  <si>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</si>
  <si>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</si>
  <si>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</si>
  <si>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</si>
  <si>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</si>
  <si>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</si>
  <si>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</si>
  <si>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</si>
  <si>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</si>
  <si>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</si>
  <si>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</si>
  <si>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</si>
  <si>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</si>
  <si>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</si>
  <si>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</si>
  <si>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</si>
  <si>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</si>
  <si>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</si>
  <si>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</si>
  <si>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</si>
  <si>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</si>
  <si>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</si>
  <si>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</si>
  <si>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</si>
  <si>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</si>
  <si>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</si>
  <si>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</si>
  <si>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</si>
  <si>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</si>
  <si>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</si>
  <si>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</si>
  <si>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</si>
  <si>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</si>
  <si>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</si>
  <si>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</si>
  <si>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</si>
  <si>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</si>
  <si>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</si>
  <si>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</si>
  <si>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</si>
  <si>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</si>
  <si>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</si>
  <si>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</si>
  <si>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</si>
  <si>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</si>
  <si>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</si>
  <si>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</si>
  <si>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</si>
  <si>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</si>
  <si>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</si>
  <si>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</si>
  <si>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</si>
  <si>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</si>
  <si>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</si>
  <si>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</si>
  <si>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</si>
  <si>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</si>
  <si>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</si>
  <si>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</si>
  <si>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</si>
  <si>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</si>
  <si>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</si>
  <si>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</si>
  <si>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</si>
  <si>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</si>
  <si>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</si>
  <si>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</si>
  <si>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</si>
  <si>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</si>
  <si>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</si>
  <si>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</si>
  <si>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</si>
  <si>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</si>
  <si>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</si>
  <si>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</si>
  <si>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</si>
  <si>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</si>
  <si>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</si>
  <si>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</si>
  <si>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</si>
  <si>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</si>
  <si>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</si>
  <si>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</si>
  <si>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</si>
  <si>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</si>
  <si>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</si>
  <si>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</si>
  <si>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</si>
  <si>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</si>
  <si>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</si>
  <si>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</si>
  <si>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</si>
  <si>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</si>
  <si>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</si>
  <si>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</si>
  <si>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</si>
  <si>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</si>
  <si>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</si>
  <si>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</si>
  <si>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</si>
  <si>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</si>
  <si>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</si>
  <si>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</si>
  <si>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</si>
  <si>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</si>
  <si>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</si>
  <si>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</si>
  <si>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</si>
  <si>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</si>
  <si>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</si>
  <si>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</si>
  <si>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</si>
  <si>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</si>
  <si>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</si>
  <si>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</si>
  <si>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</si>
  <si>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</si>
  <si>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</si>
  <si>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</si>
  <si>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</si>
  <si>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</si>
  <si>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</si>
  <si>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</si>
  <si>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</si>
  <si>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</si>
  <si>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</si>
  <si>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</si>
  <si>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</si>
  <si>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</si>
  <si>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</si>
  <si>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</si>
  <si>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</si>
  <si>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</si>
  <si>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</si>
  <si>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</si>
  <si>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</si>
  <si>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</si>
  <si>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</si>
  <si>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</si>
  <si>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</si>
  <si>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</si>
  <si>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</si>
  <si>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</si>
  <si>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</si>
  <si>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</si>
  <si>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</si>
  <si>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</si>
  <si>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</si>
  <si>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</si>
  <si>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</si>
  <si>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</si>
  <si>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</si>
  <si>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</si>
  <si>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</si>
  <si>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</si>
  <si>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</si>
  <si>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</si>
  <si>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</si>
  <si>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</si>
  <si>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</si>
  <si>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</si>
  <si>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</si>
  <si>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</si>
  <si>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</si>
  <si>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</si>
  <si>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</si>
  <si>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</si>
  <si>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</si>
  <si>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</si>
  <si>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</si>
  <si>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</si>
  <si>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</si>
  <si>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</si>
  <si>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</si>
  <si>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</si>
  <si>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</si>
  <si>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</si>
  <si>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</si>
  <si>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</si>
  <si>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</si>
  <si>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</si>
  <si>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</si>
  <si>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</si>
  <si>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</si>
  <si>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</si>
  <si>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</si>
  <si>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</si>
  <si>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</si>
  <si>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</si>
  <si>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</si>
  <si>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</si>
  <si>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</si>
  <si>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</si>
  <si>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</si>
  <si>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</si>
  <si>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</si>
  <si>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</si>
  <si>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</si>
  <si>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</si>
  <si>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</si>
  <si>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</si>
  <si>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</si>
  <si>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</si>
  <si>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</si>
  <si>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</si>
  <si>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</si>
  <si>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</si>
  <si>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</si>
  <si>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</si>
  <si>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</si>
  <si>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</si>
  <si>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</si>
  <si>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</si>
  <si>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</si>
  <si>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</si>
  <si>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</si>
  <si>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</si>
  <si>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</si>
  <si>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</si>
  <si>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</si>
  <si>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</si>
  <si>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</si>
  <si>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</si>
  <si>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</si>
  <si>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</si>
  <si>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</si>
  <si>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</si>
  <si>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</si>
  <si>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</si>
  <si>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</si>
  <si>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</si>
  <si>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</si>
  <si>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</si>
  <si>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</si>
  <si>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</si>
  <si>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</si>
  <si>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</si>
  <si>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</si>
  <si>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</si>
  <si>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</si>
  <si>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</si>
  <si>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</si>
  <si>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</si>
  <si>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</si>
  <si>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</si>
  <si>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</si>
  <si>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</si>
  <si>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</si>
  <si>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</si>
  <si>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</si>
  <si>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</si>
  <si>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</si>
  <si>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</si>
  <si>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</si>
  <si>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</si>
  <si>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</si>
  <si>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</si>
  <si>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</si>
  <si>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</si>
  <si>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</si>
  <si>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</si>
  <si>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</si>
  <si>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</si>
  <si>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</si>
  <si>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</si>
  <si>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</si>
  <si>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</si>
  <si>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</si>
  <si>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</si>
  <si>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</si>
  <si>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</si>
  <si>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</si>
  <si>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</si>
  <si>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</si>
  <si>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</si>
  <si>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</si>
  <si>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</si>
  <si>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</si>
  <si>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</si>
  <si>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</si>
  <si>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</si>
  <si>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</si>
  <si>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</si>
  <si>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</si>
  <si>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</si>
  <si>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</si>
  <si>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</si>
  <si>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</si>
  <si>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</si>
  <si>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</si>
  <si>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</si>
  <si>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</si>
  <si>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</si>
  <si>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</si>
  <si>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</si>
  <si>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</si>
  <si>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</si>
  <si>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</si>
  <si>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</si>
  <si>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</si>
  <si>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</si>
  <si>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</si>
  <si>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</si>
  <si>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</si>
  <si>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</si>
  <si>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</si>
  <si>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</si>
  <si>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</si>
  <si>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</si>
  <si>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</si>
  <si>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</si>
  <si>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</si>
  <si>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</si>
  <si>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</si>
  <si>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</si>
  <si>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</si>
  <si>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</si>
  <si>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</si>
  <si>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</si>
  <si>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</si>
  <si>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</si>
  <si>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</si>
  <si>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</si>
  <si>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</si>
  <si>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</si>
  <si>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</si>
  <si>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</si>
  <si>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</si>
  <si>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</si>
  <si>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</si>
  <si>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</si>
  <si>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</si>
  <si>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</si>
  <si>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</si>
  <si>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</si>
  <si>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</si>
  <si>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</si>
  <si>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</si>
  <si>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</si>
  <si>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</si>
  <si>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</si>
  <si>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</si>
  <si>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</si>
  <si>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</si>
  <si>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</si>
  <si>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</si>
  <si>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</si>
  <si>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</si>
  <si>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</si>
  <si>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</si>
  <si>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</si>
  <si>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</si>
  <si>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</si>
  <si>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</si>
  <si>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</si>
  <si>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</si>
  <si>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</si>
  <si>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</si>
  <si>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</si>
  <si>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</si>
  <si>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</si>
  <si>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</si>
  <si>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</si>
  <si>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</si>
  <si>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</si>
  <si>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</si>
  <si>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</si>
  <si>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</si>
  <si>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</si>
  <si>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</si>
  <si>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</si>
  <si>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</si>
  <si>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</si>
  <si>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</si>
  <si>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</si>
  <si>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</si>
  <si>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</si>
  <si>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</si>
  <si>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</si>
  <si>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</si>
  <si>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</si>
  <si>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</si>
  <si>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</si>
  <si>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</si>
  <si>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</si>
  <si>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</si>
  <si>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</si>
  <si>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</si>
  <si>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</si>
  <si>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</si>
  <si>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</si>
  <si>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</si>
  <si>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</si>
  <si>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</si>
  <si>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</si>
  <si>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</si>
  <si>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</si>
  <si>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</si>
  <si>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</si>
  <si>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</si>
  <si>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</si>
  <si>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</si>
  <si>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</si>
  <si>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</si>
  <si>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</si>
  <si>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</si>
  <si>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</si>
  <si>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</si>
  <si>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</si>
  <si>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</si>
  <si>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</si>
  <si>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</si>
  <si>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</si>
  <si>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</si>
  <si>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</si>
  <si>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</si>
  <si>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</si>
  <si>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</si>
  <si>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</si>
  <si>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</si>
  <si>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</si>
  <si>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</si>
  <si>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</si>
  <si>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</si>
  <si>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</si>
  <si>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</si>
  <si>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</si>
  <si>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</si>
  <si>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</si>
  <si>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</si>
  <si>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</si>
  <si>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</si>
  <si>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</si>
  <si>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</si>
  <si>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</si>
  <si>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</si>
  <si>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</si>
  <si>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</si>
  <si>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</si>
  <si>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</si>
  <si>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</si>
  <si>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</si>
  <si>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</si>
  <si>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</si>
  <si>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</si>
  <si>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</si>
  <si>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</si>
  <si>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</si>
  <si>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</si>
  <si>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</si>
  <si>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</si>
  <si>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</si>
  <si>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</si>
  <si>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</si>
  <si>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</si>
  <si>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</si>
  <si>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</si>
  <si>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</si>
  <si>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</si>
  <si>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</si>
  <si>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</si>
  <si>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</si>
  <si>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</si>
  <si>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</si>
  <si>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</si>
  <si>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</si>
  <si>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</si>
  <si>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</si>
  <si>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</si>
  <si>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</si>
  <si>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</si>
  <si>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</si>
  <si>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</si>
  <si>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</si>
  <si>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</si>
  <si>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</si>
  <si>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</si>
  <si>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</si>
  <si>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</si>
  <si>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</si>
  <si>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</si>
  <si>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</si>
  <si>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</si>
  <si>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</si>
  <si>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</si>
  <si>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</si>
  <si>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</si>
  <si>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</si>
  <si>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</si>
  <si>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</si>
  <si>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</si>
  <si>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</si>
  <si>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</si>
  <si>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</si>
  <si>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</si>
  <si>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</si>
  <si>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</si>
  <si>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</si>
  <si>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</si>
  <si>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</si>
  <si>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</si>
  <si>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</si>
  <si>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</si>
  <si>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</si>
  <si>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</si>
  <si>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</si>
  <si>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</si>
  <si>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</si>
  <si>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</si>
  <si>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</si>
  <si>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</si>
  <si>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</si>
  <si>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</si>
  <si>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</si>
  <si>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</si>
  <si>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</si>
  <si>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</si>
  <si>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</si>
  <si>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</si>
  <si>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</si>
  <si>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</si>
  <si>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</si>
  <si>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</si>
  <si>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</si>
  <si>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</si>
  <si>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</si>
  <si>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</si>
  <si>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</si>
  <si>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</si>
  <si>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</si>
  <si>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</si>
  <si>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</si>
  <si>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</si>
  <si>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</si>
  <si>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</si>
  <si>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</si>
  <si>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</si>
  <si>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</si>
  <si>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</si>
  <si>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</si>
  <si>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</si>
  <si>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</si>
  <si>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</si>
  <si>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</si>
  <si>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</si>
  <si>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</si>
  <si>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</si>
  <si>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</si>
  <si>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</si>
  <si>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</si>
  <si>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</si>
  <si>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</si>
  <si>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</si>
  <si>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</si>
  <si>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</si>
  <si>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</si>
  <si>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</si>
  <si>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</si>
  <si>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</si>
  <si>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</si>
  <si>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</si>
  <si>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</si>
  <si>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</si>
  <si>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</si>
  <si>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</si>
  <si>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</si>
  <si>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</si>
  <si>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</si>
  <si>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</si>
  <si>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</si>
  <si>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</si>
  <si>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</si>
  <si>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</si>
  <si>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</si>
  <si>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</si>
  <si>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</si>
  <si>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</si>
  <si>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</si>
  <si>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</si>
  <si>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</si>
  <si>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</si>
  <si>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</si>
  <si>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</si>
  <si>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</si>
  <si>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</si>
  <si>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</si>
  <si>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</si>
  <si>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</si>
  <si>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</si>
  <si>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</si>
  <si>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</si>
  <si>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</si>
  <si>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</si>
  <si>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</si>
  <si>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</si>
  <si>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</si>
  <si>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</si>
  <si>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</si>
  <si>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</si>
  <si>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</si>
  <si>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</si>
  <si>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</si>
  <si>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</si>
  <si>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</si>
  <si>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</si>
  <si>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</si>
  <si>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</si>
  <si>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</si>
  <si>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</si>
  <si>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</si>
  <si>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</si>
  <si>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</si>
  <si>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</si>
  <si>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</si>
  <si>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</si>
  <si>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</si>
  <si>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</si>
  <si>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</si>
  <si>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</si>
  <si>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</si>
  <si>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</si>
  <si>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</si>
  <si>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</si>
  <si>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</si>
  <si>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</si>
  <si>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</si>
  <si>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</si>
  <si>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</si>
  <si>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</si>
  <si>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</si>
  <si>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</si>
  <si>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</si>
  <si>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</si>
  <si>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</si>
  <si>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</si>
  <si>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</si>
  <si>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</si>
  <si>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</si>
  <si>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</si>
  <si>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</si>
  <si>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</si>
  <si>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</si>
  <si>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</si>
  <si>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</si>
  <si>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</si>
  <si>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</si>
  <si>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</si>
  <si>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</si>
  <si>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</si>
  <si>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</si>
  <si>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</si>
  <si>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</si>
  <si>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</si>
  <si>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</si>
  <si>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</si>
  <si>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</si>
  <si>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</si>
  <si>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</si>
  <si>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</si>
  <si>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</si>
  <si>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</si>
  <si>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</si>
  <si>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</si>
  <si>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</si>
  <si>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</si>
  <si>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</si>
  <si>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</si>
  <si>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</si>
  <si>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</si>
  <si>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</si>
  <si>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</si>
  <si>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</si>
  <si>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</si>
  <si>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</si>
  <si>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</si>
  <si>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</si>
  <si>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</si>
  <si>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</si>
  <si>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</si>
  <si>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</si>
  <si>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</si>
  <si>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</si>
  <si>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</si>
  <si>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</si>
  <si>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</si>
  <si>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</si>
  <si>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</si>
  <si>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</si>
  <si>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</si>
  <si>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</si>
  <si>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</si>
  <si>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</si>
  <si>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</si>
  <si>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</si>
  <si>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</si>
  <si>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</si>
  <si>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</si>
  <si>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</si>
  <si>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</si>
  <si>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</si>
  <si>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</si>
  <si>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</si>
  <si>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</si>
  <si>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</si>
  <si>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</si>
  <si>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</si>
  <si>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</si>
  <si>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</si>
  <si>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</si>
  <si>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</si>
  <si>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</si>
  <si>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</si>
  <si>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</si>
  <si>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</si>
  <si>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</si>
  <si>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</si>
  <si>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</si>
  <si>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</si>
  <si>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</si>
  <si>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</si>
  <si>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</si>
  <si>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</si>
  <si>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</si>
  <si>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</si>
  <si>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</si>
  <si>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</si>
  <si>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</si>
  <si>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</si>
  <si>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</si>
  <si>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</si>
  <si>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</si>
  <si>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</si>
  <si>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</si>
  <si>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</si>
  <si>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</si>
  <si>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</si>
  <si>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</si>
  <si>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</si>
  <si>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</si>
  <si>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</si>
  <si>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</si>
  <si>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</si>
  <si>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</si>
  <si>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</si>
  <si>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</si>
  <si>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</si>
  <si>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</si>
  <si>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</si>
  <si>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</si>
  <si>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</si>
  <si>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</si>
  <si>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</si>
  <si>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</si>
  <si>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</si>
  <si>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</si>
  <si>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</si>
  <si>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</si>
  <si>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</si>
  <si>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</si>
  <si>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</si>
  <si>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</si>
  <si>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</si>
  <si>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</si>
  <si>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</si>
  <si>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</si>
  <si>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</si>
  <si>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</si>
  <si>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</si>
  <si>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</si>
  <si>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</si>
  <si>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</si>
  <si>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</si>
  <si>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</si>
  <si>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</si>
  <si>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</si>
  <si>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</si>
  <si>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</si>
  <si>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</si>
  <si>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</si>
  <si>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</si>
  <si>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</si>
  <si>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</si>
  <si>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</si>
  <si>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</si>
  <si>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</si>
  <si>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</si>
  <si>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</si>
  <si>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</si>
  <si>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</si>
  <si>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</si>
  <si>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</si>
  <si>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</si>
  <si>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</si>
  <si>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</si>
  <si>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</si>
  <si>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</si>
  <si>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</si>
  <si>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</si>
  <si>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</si>
  <si>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</si>
  <si>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</si>
  <si>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</si>
  <si>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</si>
  <si>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</si>
  <si>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</si>
  <si>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</si>
  <si>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</si>
  <si>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</si>
  <si>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</si>
  <si>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</si>
  <si>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</si>
  <si>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</si>
  <si>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</si>
  <si>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</si>
  <si>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</si>
  <si>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</si>
  <si>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</si>
  <si>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</si>
  <si>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</si>
  <si>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</si>
  <si>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</si>
  <si>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</si>
  <si>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</si>
  <si>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</si>
  <si>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</si>
  <si>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</si>
  <si>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</si>
  <si>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</si>
  <si>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</si>
  <si>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</si>
  <si>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</si>
  <si>
    <t>2088176300504</t>
  </si>
  <si>
    <t>CENTRAL S/ CONTROLE</t>
  </si>
  <si>
    <t>garrafa EVO</t>
  </si>
  <si>
    <t>TRENA ACO 5M 16' STARRETT</t>
  </si>
  <si>
    <t>kit bolacha</t>
  </si>
  <si>
    <t>KIT AC 200 COM NONREAK AC</t>
  </si>
  <si>
    <t>espelho</t>
  </si>
  <si>
    <t>mao de obra</t>
  </si>
  <si>
    <t>2090983376184</t>
  </si>
  <si>
    <t>ac 200 avulso</t>
  </si>
  <si>
    <t>2081111882400</t>
  </si>
  <si>
    <t>MAQUINA PERFILAR GUIA U</t>
  </si>
  <si>
    <t>MÁQUINA PERFILAR</t>
  </si>
  <si>
    <t>ESPELHO</t>
  </si>
  <si>
    <t>MAQUINÁRIO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</si>
</sst>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4" fillId="0" borderId="0" xfId="0" applyFont="1"/>
    <xf numFmtId="0" fontId="0" fillId="0" borderId="0" xfId="4" applyNumberFormat="1" applyFont="1"/>
    <xf numFmtId="4" fontId="0" fillId="0" borderId="0" xfId="4" applyNumberFormat="1" applyFont="1"/>
    <xf numFmtId="0" fontId="0" fillId="0" borderId="0" xfId="0" applyAlignment="1">
      <alignment vertical="center" wrapText="1"/>
    </xf>
    <xf numFmtId="0" fontId="0" fillId="0" borderId="3" xfId="0" applyFill="1" applyBorder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6544" totalsRowShown="0">
  <autoFilter ref="A1:L654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974" totalsRowShown="0" dataDxfId="9" dataCellStyle="Moeda 2">
  <autoFilter ref="A1:M974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6544"/>
  <sheetViews>
    <sheetView topLeftCell="C1" zoomScale="85" zoomScaleNormal="85" workbookViewId="0">
      <selection activeCell="I6413" sqref="I1:I641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44140625" style="13" bestFit="1" customWidth="1"/>
    <col min="8" max="8" width="14.664062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1" t="str">
        <f>VLOOKUP(Tabela1[[#This Row],[Cliente]],'BASE DE CLIENTES'!A:E,2,0)</f>
        <v>Águas Lindas de Goiás</v>
      </c>
      <c r="D6034" s="1" t="str">
        <f>VLOOKUP(Tabela1[[#This Row],[Cliente]],'BASE DE CLIENTES'!A:C,3,0)</f>
        <v>GO</v>
      </c>
      <c r="E6034" s="1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3">
        <f>Tabela1[[#This Row],[MARGEM BRUTA]]/Tabela1[[#This Row],[Valor total]]</f>
        <v>0.41085271317829458</v>
      </c>
      <c r="K6034" s="1" t="str">
        <f>VLOOKUP(Tabela1[[#This Row],[Cliente]],'BASE DE CLIENTES'!A:D,4,0)</f>
        <v>SERRALHEIRO</v>
      </c>
      <c r="L6034" s="1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1" t="str">
        <f>VLOOKUP(Tabela1[[#This Row],[Cliente]],'BASE DE CLIENTES'!A:E,2,0)</f>
        <v>MERCADO LIVRE</v>
      </c>
      <c r="D6035" s="1" t="str">
        <f>VLOOKUP(Tabela1[[#This Row],[Cliente]],'BASE DE CLIENTES'!A:C,3,0)</f>
        <v>MERCADO LIVRE</v>
      </c>
      <c r="E6035" s="1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3">
        <f>Tabela1[[#This Row],[MARGEM BRUTA]]/Tabela1[[#This Row],[Valor total]]</f>
        <v>1</v>
      </c>
      <c r="K6035" s="1" t="str">
        <f>VLOOKUP(Tabela1[[#This Row],[Cliente]],'BASE DE CLIENTES'!A:D,4,0)</f>
        <v>OUTROS RAMOS</v>
      </c>
      <c r="L6035" s="1" t="str">
        <f>VLOOKUP(Tabela1[[#This Row],[Cliente]],'BASE DE CLIENTES'!A:E,5,0)</f>
        <v>MERCADO LIVRE</v>
      </c>
    </row>
    <row r="6036" spans="2:12" x14ac:dyDescent="0.3">
      <c r="B6036" t="s">
        <v>138</v>
      </c>
      <c r="C6036" s="1" t="str">
        <f>VLOOKUP(Tabela1[[#This Row],[Cliente]],'BASE DE CLIENTES'!A:E,2,0)</f>
        <v>Brasília</v>
      </c>
      <c r="D6036" s="1" t="str">
        <f>VLOOKUP(Tabela1[[#This Row],[Cliente]],'BASE DE CLIENTES'!A:C,3,0)</f>
        <v>DF</v>
      </c>
      <c r="E6036" s="1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3">
        <f>Tabela1[[#This Row],[MARGEM BRUTA]]/Tabela1[[#This Row],[Valor total]]</f>
        <v>0.53100000000000003</v>
      </c>
      <c r="K6036" s="1" t="str">
        <f>VLOOKUP(Tabela1[[#This Row],[Cliente]],'BASE DE CLIENTES'!A:D,4,0)</f>
        <v>OUTROS RAMOS</v>
      </c>
      <c r="L6036" s="1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1" t="str">
        <f>VLOOKUP(Tabela1[[#This Row],[Cliente]],'BASE DE CLIENTES'!A:E,2,0)</f>
        <v>Brasília</v>
      </c>
      <c r="D6037" s="1" t="str">
        <f>VLOOKUP(Tabela1[[#This Row],[Cliente]],'BASE DE CLIENTES'!A:C,3,0)</f>
        <v>DF</v>
      </c>
      <c r="E6037" s="1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3">
        <f>Tabela1[[#This Row],[MARGEM BRUTA]]/Tabela1[[#This Row],[Valor total]]</f>
        <v>0.31914893617021278</v>
      </c>
      <c r="K6037" s="1" t="str">
        <f>VLOOKUP(Tabela1[[#This Row],[Cliente]],'BASE DE CLIENTES'!A:D,4,0)</f>
        <v>SERRALHEIRO</v>
      </c>
      <c r="L6037" s="1" t="str">
        <f>VLOOKUP(Tabela1[[#This Row],[Cliente]],'BASE DE CLIENTES'!A:E,5,0)</f>
        <v>RECANTO DAS EMAS</v>
      </c>
    </row>
    <row r="6038" spans="2:12" x14ac:dyDescent="0.3">
      <c r="B6038" t="s">
        <v>111</v>
      </c>
      <c r="C6038" s="1" t="str">
        <f>VLOOKUP(Tabela1[[#This Row],[Cliente]],'BASE DE CLIENTES'!A:E,2,0)</f>
        <v>Brasília</v>
      </c>
      <c r="D6038" s="1" t="str">
        <f>VLOOKUP(Tabela1[[#This Row],[Cliente]],'BASE DE CLIENTES'!A:C,3,0)</f>
        <v>DF</v>
      </c>
      <c r="E6038" s="1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3">
        <f>Tabela1[[#This Row],[MARGEM BRUTA]]/Tabela1[[#This Row],[Valor total]]</f>
        <v>0.38656074766355136</v>
      </c>
      <c r="K6038" s="1" t="str">
        <f>VLOOKUP(Tabela1[[#This Row],[Cliente]],'BASE DE CLIENTES'!A:D,4,0)</f>
        <v>EMPRESA SEM MAQUINA</v>
      </c>
      <c r="L6038" s="1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1" t="str">
        <f>VLOOKUP(Tabela1[[#This Row],[Cliente]],'BASE DE CLIENTES'!A:E,2,0)</f>
        <v>Brasília</v>
      </c>
      <c r="D6039" s="1" t="str">
        <f>VLOOKUP(Tabela1[[#This Row],[Cliente]],'BASE DE CLIENTES'!A:C,3,0)</f>
        <v>DF</v>
      </c>
      <c r="E6039" s="1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3">
        <f>Tabela1[[#This Row],[MARGEM BRUTA]]/Tabela1[[#This Row],[Valor total]]</f>
        <v>0.3504273504273504</v>
      </c>
      <c r="K6039" s="1" t="str">
        <f>VLOOKUP(Tabela1[[#This Row],[Cliente]],'BASE DE CLIENTES'!A:D,4,0)</f>
        <v>EMPRESA COM MAQUINA</v>
      </c>
      <c r="L6039" s="1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1" t="str">
        <f>VLOOKUP(Tabela1[[#This Row],[Cliente]],'BASE DE CLIENTES'!A:E,2,0)</f>
        <v>Santo Antônio Descoberto</v>
      </c>
      <c r="D6040" s="1" t="str">
        <f>VLOOKUP(Tabela1[[#This Row],[Cliente]],'BASE DE CLIENTES'!A:C,3,0)</f>
        <v>GO</v>
      </c>
      <c r="E6040" s="1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3">
        <f>Tabela1[[#This Row],[MARGEM BRUTA]]/Tabela1[[#This Row],[Valor total]]</f>
        <v>0.25362315996074586</v>
      </c>
      <c r="K6040" s="1" t="str">
        <f>VLOOKUP(Tabela1[[#This Row],[Cliente]],'BASE DE CLIENTES'!A:D,4,0)</f>
        <v>CLIENTE NOVO S/ IDENT.</v>
      </c>
      <c r="L6040" s="1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1" t="str">
        <f>VLOOKUP(Tabela1[[#This Row],[Cliente]],'BASE DE CLIENTES'!A:E,2,0)</f>
        <v>Brasília</v>
      </c>
      <c r="D6041" s="1" t="str">
        <f>VLOOKUP(Tabela1[[#This Row],[Cliente]],'BASE DE CLIENTES'!A:C,3,0)</f>
        <v>DF</v>
      </c>
      <c r="E6041" s="1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3">
        <f>Tabela1[[#This Row],[MARGEM BRUTA]]/Tabela1[[#This Row],[Valor total]]</f>
        <v>0.7466666666666667</v>
      </c>
      <c r="K6041" s="1" t="str">
        <f>VLOOKUP(Tabela1[[#This Row],[Cliente]],'BASE DE CLIENTES'!A:D,4,0)</f>
        <v>CLIENTE NOVO S/ IDENT.</v>
      </c>
      <c r="L6041" s="1" t="str">
        <f>VLOOKUP(Tabela1[[#This Row],[Cliente]],'BASE DE CLIENTES'!A:E,5,0)</f>
        <v>SAMAMBAIA</v>
      </c>
    </row>
    <row r="6042" spans="2:12" x14ac:dyDescent="0.3">
      <c r="B6042" t="s">
        <v>1223</v>
      </c>
      <c r="C6042" s="1" t="str">
        <f>VLOOKUP(Tabela1[[#This Row],[Cliente]],'BASE DE CLIENTES'!A:E,2,0)</f>
        <v>MERCADO LIVRE</v>
      </c>
      <c r="D6042" s="1" t="str">
        <f>VLOOKUP(Tabela1[[#This Row],[Cliente]],'BASE DE CLIENTES'!A:C,3,0)</f>
        <v>MERCADO LIVRE</v>
      </c>
      <c r="E6042" s="1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3">
        <f>Tabela1[[#This Row],[MARGEM BRUTA]]/Tabela1[[#This Row],[Valor total]]</f>
        <v>0.69889251511422612</v>
      </c>
      <c r="K6042" s="1" t="str">
        <f>VLOOKUP(Tabela1[[#This Row],[Cliente]],'BASE DE CLIENTES'!A:D,4,0)</f>
        <v>OUTROS RAMOS</v>
      </c>
      <c r="L6042" s="1" t="str">
        <f>VLOOKUP(Tabela1[[#This Row],[Cliente]],'BASE DE CLIENTES'!A:E,5,0)</f>
        <v>MERCADO LIVRE</v>
      </c>
    </row>
    <row r="6043" spans="2:12" x14ac:dyDescent="0.3">
      <c r="B6043" t="s">
        <v>111</v>
      </c>
      <c r="C6043" s="1" t="str">
        <f>VLOOKUP(Tabela1[[#This Row],[Cliente]],'BASE DE CLIENTES'!A:E,2,0)</f>
        <v>Brasília</v>
      </c>
      <c r="D6043" s="1" t="str">
        <f>VLOOKUP(Tabela1[[#This Row],[Cliente]],'BASE DE CLIENTES'!A:C,3,0)</f>
        <v>DF</v>
      </c>
      <c r="E6043" s="1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3">
        <f>Tabela1[[#This Row],[MARGEM BRUTA]]/Tabela1[[#This Row],[Valor total]]</f>
        <v>-3.5565833333333332</v>
      </c>
      <c r="K6043" s="1" t="str">
        <f>VLOOKUP(Tabela1[[#This Row],[Cliente]],'BASE DE CLIENTES'!A:D,4,0)</f>
        <v>EMPRESA SEM MAQUINA</v>
      </c>
      <c r="L6043" s="1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1" t="str">
        <f>VLOOKUP(Tabela1[[#This Row],[Cliente]],'BASE DE CLIENTES'!A:E,2,0)</f>
        <v>MERCADO LIVRE</v>
      </c>
      <c r="D6044" s="1" t="str">
        <f>VLOOKUP(Tabela1[[#This Row],[Cliente]],'BASE DE CLIENTES'!A:C,3,0)</f>
        <v>MERCADO LIVRE</v>
      </c>
      <c r="E6044" s="1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3">
        <f>Tabela1[[#This Row],[MARGEM BRUTA]]/Tabela1[[#This Row],[Valor total]]</f>
        <v>1</v>
      </c>
      <c r="K6044" s="1" t="str">
        <f>VLOOKUP(Tabela1[[#This Row],[Cliente]],'BASE DE CLIENTES'!A:D,4,0)</f>
        <v>OUTROS RAMOS</v>
      </c>
      <c r="L6044" s="1" t="str">
        <f>VLOOKUP(Tabela1[[#This Row],[Cliente]],'BASE DE CLIENTES'!A:E,5,0)</f>
        <v>MERCADO LIVRE</v>
      </c>
    </row>
    <row r="6045" spans="2:12" x14ac:dyDescent="0.3">
      <c r="B6045" t="s">
        <v>1223</v>
      </c>
      <c r="C6045" s="1" t="str">
        <f>VLOOKUP(Tabela1[[#This Row],[Cliente]],'BASE DE CLIENTES'!A:E,2,0)</f>
        <v>MERCADO LIVRE</v>
      </c>
      <c r="D6045" s="1" t="str">
        <f>VLOOKUP(Tabela1[[#This Row],[Cliente]],'BASE DE CLIENTES'!A:C,3,0)</f>
        <v>MERCADO LIVRE</v>
      </c>
      <c r="E6045" s="1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3">
        <f>Tabela1[[#This Row],[MARGEM BRUTA]]/Tabela1[[#This Row],[Valor total]]</f>
        <v>0.71390809272061817</v>
      </c>
      <c r="K6045" s="1" t="str">
        <f>VLOOKUP(Tabela1[[#This Row],[Cliente]],'BASE DE CLIENTES'!A:D,4,0)</f>
        <v>OUTROS RAMOS</v>
      </c>
      <c r="L6045" s="1" t="str">
        <f>VLOOKUP(Tabela1[[#This Row],[Cliente]],'BASE DE CLIENTES'!A:E,5,0)</f>
        <v>MERCADO LIVRE</v>
      </c>
    </row>
    <row r="6046" spans="2:12" x14ac:dyDescent="0.3">
      <c r="B6046" t="s">
        <v>206</v>
      </c>
      <c r="C6046" s="1" t="str">
        <f>VLOOKUP(Tabela1[[#This Row],[Cliente]],'BASE DE CLIENTES'!A:E,2,0)</f>
        <v>Goiânia</v>
      </c>
      <c r="D6046" s="1" t="str">
        <f>VLOOKUP(Tabela1[[#This Row],[Cliente]],'BASE DE CLIENTES'!A:C,3,0)</f>
        <v>GO</v>
      </c>
      <c r="E6046" s="1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3">
        <f>Tabela1[[#This Row],[MARGEM BRUTA]]/Tabela1[[#This Row],[Valor total]]</f>
        <v>0.31336679841897236</v>
      </c>
      <c r="K6046" s="1" t="str">
        <f>VLOOKUP(Tabela1[[#This Row],[Cliente]],'BASE DE CLIENTES'!A:D,4,0)</f>
        <v>EMPRESA COM MAQUINA</v>
      </c>
      <c r="L6046" s="1" t="str">
        <f>VLOOKUP(Tabela1[[#This Row],[Cliente]],'BASE DE CLIENTES'!A:E,5,0)</f>
        <v>Goiânia</v>
      </c>
    </row>
    <row r="6047" spans="2:12" x14ac:dyDescent="0.3">
      <c r="B6047" t="s">
        <v>232</v>
      </c>
      <c r="C6047" s="1" t="str">
        <f>VLOOKUP(Tabela1[[#This Row],[Cliente]],'BASE DE CLIENTES'!A:E,2,0)</f>
        <v>Brasília</v>
      </c>
      <c r="D6047" s="1" t="str">
        <f>VLOOKUP(Tabela1[[#This Row],[Cliente]],'BASE DE CLIENTES'!A:C,3,0)</f>
        <v>DF</v>
      </c>
      <c r="E6047" s="1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3">
        <f>Tabela1[[#This Row],[MARGEM BRUTA]]/Tabela1[[#This Row],[Valor total]]</f>
        <v>0.36333333333333334</v>
      </c>
      <c r="K6047" s="1" t="str">
        <f>VLOOKUP(Tabela1[[#This Row],[Cliente]],'BASE DE CLIENTES'!A:D,4,0)</f>
        <v>CHAVEIRO</v>
      </c>
      <c r="L6047" s="1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1" t="str">
        <f>VLOOKUP(Tabela1[[#This Row],[Cliente]],'BASE DE CLIENTES'!A:E,2,0)</f>
        <v>MERCADO LIVRE</v>
      </c>
      <c r="D6048" s="1" t="str">
        <f>VLOOKUP(Tabela1[[#This Row],[Cliente]],'BASE DE CLIENTES'!A:C,3,0)</f>
        <v>MERCADO LIVRE</v>
      </c>
      <c r="E6048" s="1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3">
        <f>Tabela1[[#This Row],[MARGEM BRUTA]]/Tabela1[[#This Row],[Valor total]]</f>
        <v>1</v>
      </c>
      <c r="K6048" s="1" t="str">
        <f>VLOOKUP(Tabela1[[#This Row],[Cliente]],'BASE DE CLIENTES'!A:D,4,0)</f>
        <v>OUTROS RAMOS</v>
      </c>
      <c r="L6048" s="1" t="str">
        <f>VLOOKUP(Tabela1[[#This Row],[Cliente]],'BASE DE CLIENTES'!A:E,5,0)</f>
        <v>MERCADO LIVRE</v>
      </c>
    </row>
    <row r="6049" spans="2:12" x14ac:dyDescent="0.3">
      <c r="B6049" t="s">
        <v>151</v>
      </c>
      <c r="C6049" s="1" t="str">
        <f>VLOOKUP(Tabela1[[#This Row],[Cliente]],'BASE DE CLIENTES'!A:E,2,0)</f>
        <v>Aparecida de Goiânia</v>
      </c>
      <c r="D6049" s="1" t="str">
        <f>VLOOKUP(Tabela1[[#This Row],[Cliente]],'BASE DE CLIENTES'!A:C,3,0)</f>
        <v>GO</v>
      </c>
      <c r="E6049" s="1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3">
        <f>Tabela1[[#This Row],[MARGEM BRUTA]]/Tabela1[[#This Row],[Valor total]]</f>
        <v>0.2</v>
      </c>
      <c r="K6049" s="1" t="str">
        <f>VLOOKUP(Tabela1[[#This Row],[Cliente]],'BASE DE CLIENTES'!A:D,4,0)</f>
        <v>EMPRESA COM MAQUINA</v>
      </c>
      <c r="L6049" s="1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1" t="str">
        <f>VLOOKUP(Tabela1[[#This Row],[Cliente]],'BASE DE CLIENTES'!A:E,2,0)</f>
        <v>Anápolis</v>
      </c>
      <c r="D6050" s="1" t="str">
        <f>VLOOKUP(Tabela1[[#This Row],[Cliente]],'BASE DE CLIENTES'!A:C,3,0)</f>
        <v>GO</v>
      </c>
      <c r="E6050" s="1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3">
        <f>Tabela1[[#This Row],[MARGEM BRUTA]]/Tabela1[[#This Row],[Valor total]]</f>
        <v>0.35486363636363633</v>
      </c>
      <c r="K6050" s="1" t="str">
        <f>VLOOKUP(Tabela1[[#This Row],[Cliente]],'BASE DE CLIENTES'!A:D,4,0)</f>
        <v>EMPRESA COM MAQUINA</v>
      </c>
      <c r="L6050" s="1" t="str">
        <f>VLOOKUP(Tabela1[[#This Row],[Cliente]],'BASE DE CLIENTES'!A:E,5,0)</f>
        <v>Anápolis</v>
      </c>
    </row>
    <row r="6051" spans="2:12" x14ac:dyDescent="0.3">
      <c r="B6051" t="s">
        <v>161</v>
      </c>
      <c r="C6051" s="1" t="str">
        <f>VLOOKUP(Tabela1[[#This Row],[Cliente]],'BASE DE CLIENTES'!A:E,2,0)</f>
        <v>Brasília</v>
      </c>
      <c r="D6051" s="1" t="str">
        <f>VLOOKUP(Tabela1[[#This Row],[Cliente]],'BASE DE CLIENTES'!A:C,3,0)</f>
        <v>DF</v>
      </c>
      <c r="E6051" s="1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3">
        <f>Tabela1[[#This Row],[MARGEM BRUTA]]/Tabela1[[#This Row],[Valor total]]</f>
        <v>0.36666896551724143</v>
      </c>
      <c r="K6051" s="1" t="str">
        <f>VLOOKUP(Tabela1[[#This Row],[Cliente]],'BASE DE CLIENTES'!A:D,4,0)</f>
        <v>EMPRESA COM MAQUINA</v>
      </c>
      <c r="L6051" s="1" t="str">
        <f>VLOOKUP(Tabela1[[#This Row],[Cliente]],'BASE DE CLIENTES'!A:E,5,0)</f>
        <v>RIACHO FUNDO II</v>
      </c>
    </row>
    <row r="6052" spans="2:12" x14ac:dyDescent="0.3">
      <c r="B6052" t="s">
        <v>316</v>
      </c>
      <c r="C6052" s="1" t="str">
        <f>VLOOKUP(Tabela1[[#This Row],[Cliente]],'BASE DE CLIENTES'!A:E,2,0)</f>
        <v>Valparaíso de Goiás</v>
      </c>
      <c r="D6052" s="1" t="str">
        <f>VLOOKUP(Tabela1[[#This Row],[Cliente]],'BASE DE CLIENTES'!A:C,3,0)</f>
        <v>GO</v>
      </c>
      <c r="E6052" s="1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3">
        <f>Tabela1[[#This Row],[MARGEM BRUTA]]/Tabela1[[#This Row],[Valor total]]</f>
        <v>0.32264587155963304</v>
      </c>
      <c r="K6052" s="1" t="str">
        <f>VLOOKUP(Tabela1[[#This Row],[Cliente]],'BASE DE CLIENTES'!A:D,4,0)</f>
        <v>SERRALHEIRO</v>
      </c>
      <c r="L6052" s="1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1" t="str">
        <f>VLOOKUP(Tabela1[[#This Row],[Cliente]],'BASE DE CLIENTES'!A:E,2,0)</f>
        <v>MERCADO LIVRE</v>
      </c>
      <c r="D6053" s="1" t="str">
        <f>VLOOKUP(Tabela1[[#This Row],[Cliente]],'BASE DE CLIENTES'!A:C,3,0)</f>
        <v>MERCADO LIVRE</v>
      </c>
      <c r="E6053" s="1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3">
        <f>Tabela1[[#This Row],[MARGEM BRUTA]]/Tabela1[[#This Row],[Valor total]]</f>
        <v>0.71390809272061817</v>
      </c>
      <c r="K6053" s="1" t="str">
        <f>VLOOKUP(Tabela1[[#This Row],[Cliente]],'BASE DE CLIENTES'!A:D,4,0)</f>
        <v>OUTROS RAMOS</v>
      </c>
      <c r="L6053" s="1" t="str">
        <f>VLOOKUP(Tabela1[[#This Row],[Cliente]],'BASE DE CLIENTES'!A:E,5,0)</f>
        <v>MERCADO LIVRE</v>
      </c>
    </row>
    <row r="6054" spans="2:12" x14ac:dyDescent="0.3">
      <c r="B6054" t="s">
        <v>27</v>
      </c>
      <c r="C6054" s="1" t="str">
        <f>VLOOKUP(Tabela1[[#This Row],[Cliente]],'BASE DE CLIENTES'!A:E,2,0)</f>
        <v>Brasília</v>
      </c>
      <c r="D6054" s="1" t="str">
        <f>VLOOKUP(Tabela1[[#This Row],[Cliente]],'BASE DE CLIENTES'!A:C,3,0)</f>
        <v>DF</v>
      </c>
      <c r="E6054" s="1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3">
        <f>Tabela1[[#This Row],[MARGEM BRUTA]]/Tabela1[[#This Row],[Valor total]]</f>
        <v>0.66063768115942034</v>
      </c>
      <c r="K6054" s="1" t="str">
        <f>VLOOKUP(Tabela1[[#This Row],[Cliente]],'BASE DE CLIENTES'!A:D,4,0)</f>
        <v>EMPRESA SEM MAQUINA</v>
      </c>
      <c r="L6054" s="1" t="str">
        <f>VLOOKUP(Tabela1[[#This Row],[Cliente]],'BASE DE CLIENTES'!A:E,5,0)</f>
        <v>RECANTO DAS EMAS</v>
      </c>
    </row>
    <row r="6055" spans="2:12" x14ac:dyDescent="0.3">
      <c r="B6055" t="s">
        <v>66</v>
      </c>
      <c r="C6055" s="1" t="str">
        <f>VLOOKUP(Tabela1[[#This Row],[Cliente]],'BASE DE CLIENTES'!A:E,2,0)</f>
        <v>Águas Lindas de Goiás</v>
      </c>
      <c r="D6055" s="1" t="str">
        <f>VLOOKUP(Tabela1[[#This Row],[Cliente]],'BASE DE CLIENTES'!A:C,3,0)</f>
        <v>GO</v>
      </c>
      <c r="E6055" s="1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3">
        <f>Tabela1[[#This Row],[MARGEM BRUTA]]/Tabela1[[#This Row],[Valor total]]</f>
        <v>0.3559322033898305</v>
      </c>
      <c r="K6055" s="1" t="str">
        <f>VLOOKUP(Tabela1[[#This Row],[Cliente]],'BASE DE CLIENTES'!A:D,4,0)</f>
        <v>EMPRESA COM MAQUINA</v>
      </c>
      <c r="L6055" s="1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1" t="str">
        <f>VLOOKUP(Tabela1[[#This Row],[Cliente]],'BASE DE CLIENTES'!A:E,2,0)</f>
        <v>MERCADO LIVRE</v>
      </c>
      <c r="D6056" s="1" t="str">
        <f>VLOOKUP(Tabela1[[#This Row],[Cliente]],'BASE DE CLIENTES'!A:C,3,0)</f>
        <v>MERCADO LIVRE</v>
      </c>
      <c r="E6056" s="1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3">
        <f>Tabela1[[#This Row],[MARGEM BRUTA]]/Tabela1[[#This Row],[Valor total]]</f>
        <v>0.16357688113413305</v>
      </c>
      <c r="K6056" s="1" t="str">
        <f>VLOOKUP(Tabela1[[#This Row],[Cliente]],'BASE DE CLIENTES'!A:D,4,0)</f>
        <v>OUTROS RAMOS</v>
      </c>
      <c r="L6056" s="1" t="str">
        <f>VLOOKUP(Tabela1[[#This Row],[Cliente]],'BASE DE CLIENTES'!A:E,5,0)</f>
        <v>MERCADO LIVRE</v>
      </c>
    </row>
    <row r="6057" spans="2:12" x14ac:dyDescent="0.3">
      <c r="B6057" t="s">
        <v>136</v>
      </c>
      <c r="C6057" s="1" t="str">
        <f>VLOOKUP(Tabela1[[#This Row],[Cliente]],'BASE DE CLIENTES'!A:E,2,0)</f>
        <v>Brasília</v>
      </c>
      <c r="D6057" s="1" t="str">
        <f>VLOOKUP(Tabela1[[#This Row],[Cliente]],'BASE DE CLIENTES'!A:C,3,0)</f>
        <v>DF</v>
      </c>
      <c r="E6057" s="1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3">
        <f>Tabela1[[#This Row],[MARGEM BRUTA]]/Tabela1[[#This Row],[Valor total]]</f>
        <v>0.4</v>
      </c>
      <c r="K6057" s="1" t="str">
        <f>VLOOKUP(Tabela1[[#This Row],[Cliente]],'BASE DE CLIENTES'!A:D,4,0)</f>
        <v>SEM CLASSIFICAÇÃO</v>
      </c>
      <c r="L6057" s="1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1" t="str">
        <f>VLOOKUP(Tabela1[[#This Row],[Cliente]],'BASE DE CLIENTES'!A:E,2,0)</f>
        <v>Brasília</v>
      </c>
      <c r="D6058" s="1" t="str">
        <f>VLOOKUP(Tabela1[[#This Row],[Cliente]],'BASE DE CLIENTES'!A:C,3,0)</f>
        <v>DF</v>
      </c>
      <c r="E6058" s="1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3">
        <f>Tabela1[[#This Row],[MARGEM BRUTA]]/Tabela1[[#This Row],[Valor total]]</f>
        <v>0.39759036144578314</v>
      </c>
      <c r="K6058" s="1" t="str">
        <f>VLOOKUP(Tabela1[[#This Row],[Cliente]],'BASE DE CLIENTES'!A:D,4,0)</f>
        <v>EMPRESA COM MAQUINA</v>
      </c>
      <c r="L6058" s="1" t="str">
        <f>VLOOKUP(Tabela1[[#This Row],[Cliente]],'BASE DE CLIENTES'!A:E,5,0)</f>
        <v>26 DE SETEMBRO</v>
      </c>
    </row>
    <row r="6059" spans="2:12" x14ac:dyDescent="0.3">
      <c r="B6059" t="s">
        <v>70</v>
      </c>
      <c r="C6059" s="1" t="str">
        <f>VLOOKUP(Tabela1[[#This Row],[Cliente]],'BASE DE CLIENTES'!A:E,2,0)</f>
        <v>Brasília</v>
      </c>
      <c r="D6059" s="1" t="str">
        <f>VLOOKUP(Tabela1[[#This Row],[Cliente]],'BASE DE CLIENTES'!A:C,3,0)</f>
        <v>DF</v>
      </c>
      <c r="E6059" s="1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3">
        <f>Tabela1[[#This Row],[MARGEM BRUTA]]/Tabela1[[#This Row],[Valor total]]</f>
        <v>0.40909090909090912</v>
      </c>
      <c r="K6059" s="1" t="str">
        <f>VLOOKUP(Tabela1[[#This Row],[Cliente]],'BASE DE CLIENTES'!A:D,4,0)</f>
        <v>EMPRESA COM MAQUINA</v>
      </c>
      <c r="L6059" s="1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1" t="str">
        <f>VLOOKUP(Tabela1[[#This Row],[Cliente]],'BASE DE CLIENTES'!A:E,2,0)</f>
        <v>Brasília</v>
      </c>
      <c r="D6060" s="1" t="str">
        <f>VLOOKUP(Tabela1[[#This Row],[Cliente]],'BASE DE CLIENTES'!A:C,3,0)</f>
        <v>DF</v>
      </c>
      <c r="E6060" s="1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3">
        <f>Tabela1[[#This Row],[MARGEM BRUTA]]/Tabela1[[#This Row],[Valor total]]</f>
        <v>0.26336363636363636</v>
      </c>
      <c r="K6060" s="1" t="str">
        <f>VLOOKUP(Tabela1[[#This Row],[Cliente]],'BASE DE CLIENTES'!A:D,4,0)</f>
        <v>EMPRESA SEM MAQUINA</v>
      </c>
      <c r="L6060" s="1" t="str">
        <f>VLOOKUP(Tabela1[[#This Row],[Cliente]],'BASE DE CLIENTES'!A:E,5,0)</f>
        <v>RECANTO DAS EMAS</v>
      </c>
    </row>
    <row r="6061" spans="2:12" x14ac:dyDescent="0.3">
      <c r="B6061" t="s">
        <v>108</v>
      </c>
      <c r="C6061" s="1" t="str">
        <f>VLOOKUP(Tabela1[[#This Row],[Cliente]],'BASE DE CLIENTES'!A:E,2,0)</f>
        <v>Brasília</v>
      </c>
      <c r="D6061" s="1" t="str">
        <f>VLOOKUP(Tabela1[[#This Row],[Cliente]],'BASE DE CLIENTES'!A:C,3,0)</f>
        <v>DF</v>
      </c>
      <c r="E6061" s="1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3">
        <f>Tabela1[[#This Row],[MARGEM BRUTA]]/Tabela1[[#This Row],[Valor total]]</f>
        <v>0.3</v>
      </c>
      <c r="K6061" s="1" t="str">
        <f>VLOOKUP(Tabela1[[#This Row],[Cliente]],'BASE DE CLIENTES'!A:D,4,0)</f>
        <v>SERRALHEIRO</v>
      </c>
      <c r="L6061" s="1" t="str">
        <f>VLOOKUP(Tabela1[[#This Row],[Cliente]],'BASE DE CLIENTES'!A:E,5,0)</f>
        <v>Vila Planalto</v>
      </c>
    </row>
    <row r="6062" spans="2:12" x14ac:dyDescent="0.3">
      <c r="B6062" t="s">
        <v>1223</v>
      </c>
      <c r="C6062" s="1" t="str">
        <f>VLOOKUP(Tabela1[[#This Row],[Cliente]],'BASE DE CLIENTES'!A:E,2,0)</f>
        <v>MERCADO LIVRE</v>
      </c>
      <c r="D6062" s="1" t="str">
        <f>VLOOKUP(Tabela1[[#This Row],[Cliente]],'BASE DE CLIENTES'!A:C,3,0)</f>
        <v>MERCADO LIVRE</v>
      </c>
      <c r="E6062" s="1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3">
        <f>Tabela1[[#This Row],[MARGEM BRUTA]]/Tabela1[[#This Row],[Valor total]]</f>
        <v>1</v>
      </c>
      <c r="K6062" s="1" t="str">
        <f>VLOOKUP(Tabela1[[#This Row],[Cliente]],'BASE DE CLIENTES'!A:D,4,0)</f>
        <v>OUTROS RAMOS</v>
      </c>
      <c r="L6062" s="1" t="str">
        <f>VLOOKUP(Tabela1[[#This Row],[Cliente]],'BASE DE CLIENTES'!A:E,5,0)</f>
        <v>MERCADO LIVRE</v>
      </c>
    </row>
    <row r="6063" spans="2:12" x14ac:dyDescent="0.3">
      <c r="B6063" t="s">
        <v>111</v>
      </c>
      <c r="C6063" s="1" t="str">
        <f>VLOOKUP(Tabela1[[#This Row],[Cliente]],'BASE DE CLIENTES'!A:E,2,0)</f>
        <v>Brasília</v>
      </c>
      <c r="D6063" s="1" t="str">
        <f>VLOOKUP(Tabela1[[#This Row],[Cliente]],'BASE DE CLIENTES'!A:C,3,0)</f>
        <v>DF</v>
      </c>
      <c r="E6063" s="1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3">
        <f>Tabela1[[#This Row],[MARGEM BRUTA]]/Tabela1[[#This Row],[Valor total]]</f>
        <v>0.39737755102040812</v>
      </c>
      <c r="K6063" s="1" t="str">
        <f>VLOOKUP(Tabela1[[#This Row],[Cliente]],'BASE DE CLIENTES'!A:D,4,0)</f>
        <v>EMPRESA SEM MAQUINA</v>
      </c>
      <c r="L6063" s="1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1" t="str">
        <f>VLOOKUP(Tabela1[[#This Row],[Cliente]],'BASE DE CLIENTES'!A:E,2,0)</f>
        <v>Brasília</v>
      </c>
      <c r="D6064" s="1" t="str">
        <f>VLOOKUP(Tabela1[[#This Row],[Cliente]],'BASE DE CLIENTES'!A:C,3,0)</f>
        <v>DF</v>
      </c>
      <c r="E6064" s="1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3">
        <f>Tabela1[[#This Row],[MARGEM BRUTA]]/Tabela1[[#This Row],[Valor total]]</f>
        <v>0.41805555555555557</v>
      </c>
      <c r="K6064" s="1" t="str">
        <f>VLOOKUP(Tabela1[[#This Row],[Cliente]],'BASE DE CLIENTES'!A:D,4,0)</f>
        <v>EMPRESA SEM MAQUINA</v>
      </c>
      <c r="L6064" s="1" t="str">
        <f>VLOOKUP(Tabela1[[#This Row],[Cliente]],'BASE DE CLIENTES'!A:E,5,0)</f>
        <v>JOKEY</v>
      </c>
    </row>
    <row r="6065" spans="2:12" x14ac:dyDescent="0.3">
      <c r="B6065" t="s">
        <v>1223</v>
      </c>
      <c r="C6065" s="1" t="str">
        <f>VLOOKUP(Tabela1[[#This Row],[Cliente]],'BASE DE CLIENTES'!A:E,2,0)</f>
        <v>MERCADO LIVRE</v>
      </c>
      <c r="D6065" s="1" t="str">
        <f>VLOOKUP(Tabela1[[#This Row],[Cliente]],'BASE DE CLIENTES'!A:C,3,0)</f>
        <v>MERCADO LIVRE</v>
      </c>
      <c r="E6065" s="1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3">
        <f>Tabela1[[#This Row],[MARGEM BRUTA]]/Tabela1[[#This Row],[Valor total]]</f>
        <v>0.73053720195346161</v>
      </c>
      <c r="K6065" s="1" t="str">
        <f>VLOOKUP(Tabela1[[#This Row],[Cliente]],'BASE DE CLIENTES'!A:D,4,0)</f>
        <v>OUTROS RAMOS</v>
      </c>
      <c r="L6065" s="1" t="str">
        <f>VLOOKUP(Tabela1[[#This Row],[Cliente]],'BASE DE CLIENTES'!A:E,5,0)</f>
        <v>MERCADO LIVRE</v>
      </c>
    </row>
    <row r="6066" spans="2:12" x14ac:dyDescent="0.3">
      <c r="B6066" t="s">
        <v>1223</v>
      </c>
      <c r="C6066" s="1" t="str">
        <f>VLOOKUP(Tabela1[[#This Row],[Cliente]],'BASE DE CLIENTES'!A:E,2,0)</f>
        <v>MERCADO LIVRE</v>
      </c>
      <c r="D6066" s="1" t="str">
        <f>VLOOKUP(Tabela1[[#This Row],[Cliente]],'BASE DE CLIENTES'!A:C,3,0)</f>
        <v>MERCADO LIVRE</v>
      </c>
      <c r="E6066" s="1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3">
        <f>Tabela1[[#This Row],[MARGEM BRUTA]]/Tabela1[[#This Row],[Valor total]]</f>
        <v>0.68251819258757829</v>
      </c>
      <c r="K6066" s="1" t="str">
        <f>VLOOKUP(Tabela1[[#This Row],[Cliente]],'BASE DE CLIENTES'!A:D,4,0)</f>
        <v>OUTROS RAMOS</v>
      </c>
      <c r="L6066" s="1" t="str">
        <f>VLOOKUP(Tabela1[[#This Row],[Cliente]],'BASE DE CLIENTES'!A:E,5,0)</f>
        <v>MERCADO LIVRE</v>
      </c>
    </row>
    <row r="6067" spans="2:12" x14ac:dyDescent="0.3">
      <c r="B6067" t="s">
        <v>1223</v>
      </c>
      <c r="C6067" s="1" t="str">
        <f>VLOOKUP(Tabela1[[#This Row],[Cliente]],'BASE DE CLIENTES'!A:E,2,0)</f>
        <v>MERCADO LIVRE</v>
      </c>
      <c r="D6067" s="1" t="str">
        <f>VLOOKUP(Tabela1[[#This Row],[Cliente]],'BASE DE CLIENTES'!A:C,3,0)</f>
        <v>MERCADO LIVRE</v>
      </c>
      <c r="E6067" s="1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3">
        <f>Tabela1[[#This Row],[MARGEM BRUTA]]/Tabela1[[#This Row],[Valor total]]</f>
        <v>0.3910830197410885</v>
      </c>
      <c r="K6067" s="1" t="str">
        <f>VLOOKUP(Tabela1[[#This Row],[Cliente]],'BASE DE CLIENTES'!A:D,4,0)</f>
        <v>OUTROS RAMOS</v>
      </c>
      <c r="L6067" s="1" t="str">
        <f>VLOOKUP(Tabela1[[#This Row],[Cliente]],'BASE DE CLIENTES'!A:E,5,0)</f>
        <v>MERCADO LIVRE</v>
      </c>
    </row>
    <row r="6068" spans="2:12" x14ac:dyDescent="0.3">
      <c r="B6068" t="s">
        <v>1223</v>
      </c>
      <c r="C6068" s="1" t="str">
        <f>VLOOKUP(Tabela1[[#This Row],[Cliente]],'BASE DE CLIENTES'!A:E,2,0)</f>
        <v>MERCADO LIVRE</v>
      </c>
      <c r="D6068" s="1" t="str">
        <f>VLOOKUP(Tabela1[[#This Row],[Cliente]],'BASE DE CLIENTES'!A:C,3,0)</f>
        <v>MERCADO LIVRE</v>
      </c>
      <c r="E6068" s="1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3">
        <f>Tabela1[[#This Row],[MARGEM BRUTA]]/Tabela1[[#This Row],[Valor total]]</f>
        <v>0.72586458840720902</v>
      </c>
      <c r="K6068" s="1" t="str">
        <f>VLOOKUP(Tabela1[[#This Row],[Cliente]],'BASE DE CLIENTES'!A:D,4,0)</f>
        <v>OUTROS RAMOS</v>
      </c>
      <c r="L6068" s="1" t="str">
        <f>VLOOKUP(Tabela1[[#This Row],[Cliente]],'BASE DE CLIENTES'!A:E,5,0)</f>
        <v>MERCADO LIVRE</v>
      </c>
    </row>
    <row r="6069" spans="2:12" x14ac:dyDescent="0.3">
      <c r="B6069" t="s">
        <v>111</v>
      </c>
      <c r="C6069" s="1" t="str">
        <f>VLOOKUP(Tabela1[[#This Row],[Cliente]],'BASE DE CLIENTES'!A:E,2,0)</f>
        <v>Brasília</v>
      </c>
      <c r="D6069" s="1" t="str">
        <f>VLOOKUP(Tabela1[[#This Row],[Cliente]],'BASE DE CLIENTES'!A:C,3,0)</f>
        <v>DF</v>
      </c>
      <c r="E6069" s="1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3">
        <f>Tabela1[[#This Row],[MARGEM BRUTA]]/Tabela1[[#This Row],[Valor total]]</f>
        <v>0.41890836653386454</v>
      </c>
      <c r="K6069" s="1" t="str">
        <f>VLOOKUP(Tabela1[[#This Row],[Cliente]],'BASE DE CLIENTES'!A:D,4,0)</f>
        <v>EMPRESA SEM MAQUINA</v>
      </c>
      <c r="L6069" s="1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1" t="str">
        <f>VLOOKUP(Tabela1[[#This Row],[Cliente]],'BASE DE CLIENTES'!A:E,2,0)</f>
        <v>Brasília</v>
      </c>
      <c r="D6070" s="1" t="str">
        <f>VLOOKUP(Tabela1[[#This Row],[Cliente]],'BASE DE CLIENTES'!A:C,3,0)</f>
        <v>DF</v>
      </c>
      <c r="E6070" s="1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3">
        <f>Tabela1[[#This Row],[MARGEM BRUTA]]/Tabela1[[#This Row],[Valor total]]</f>
        <v>0.38211382113821141</v>
      </c>
      <c r="K6070" s="1" t="str">
        <f>VLOOKUP(Tabela1[[#This Row],[Cliente]],'BASE DE CLIENTES'!A:D,4,0)</f>
        <v>EMPRESA SEM MAQUINA</v>
      </c>
      <c r="L6070" s="1" t="str">
        <f>VLOOKUP(Tabela1[[#This Row],[Cliente]],'BASE DE CLIENTES'!A:E,5,0)</f>
        <v>RECANTO DAS EMAS</v>
      </c>
    </row>
    <row r="6071" spans="2:12" x14ac:dyDescent="0.3">
      <c r="B6071" t="s">
        <v>68</v>
      </c>
      <c r="C6071" s="1" t="str">
        <f>VLOOKUP(Tabela1[[#This Row],[Cliente]],'BASE DE CLIENTES'!A:E,2,0)</f>
        <v>Brasília</v>
      </c>
      <c r="D6071" s="1" t="str">
        <f>VLOOKUP(Tabela1[[#This Row],[Cliente]],'BASE DE CLIENTES'!A:C,3,0)</f>
        <v>DF</v>
      </c>
      <c r="E6071" s="1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3">
        <f>Tabela1[[#This Row],[MARGEM BRUTA]]/Tabela1[[#This Row],[Valor total]]</f>
        <v>0.3504273504273504</v>
      </c>
      <c r="K6071" s="1" t="str">
        <f>VLOOKUP(Tabela1[[#This Row],[Cliente]],'BASE DE CLIENTES'!A:D,4,0)</f>
        <v>EMPRESA COM MAQUINA</v>
      </c>
      <c r="L6071" s="1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1" t="str">
        <f>VLOOKUP(Tabela1[[#This Row],[Cliente]],'BASE DE CLIENTES'!A:E,2,0)</f>
        <v>Brasília</v>
      </c>
      <c r="D6072" s="1" t="str">
        <f>VLOOKUP(Tabela1[[#This Row],[Cliente]],'BASE DE CLIENTES'!A:C,3,0)</f>
        <v>DF</v>
      </c>
      <c r="E6072" s="1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3">
        <f>Tabela1[[#This Row],[MARGEM BRUTA]]/Tabela1[[#This Row],[Valor total]]</f>
        <v>0.7466666666666667</v>
      </c>
      <c r="K6072" s="1" t="str">
        <f>VLOOKUP(Tabela1[[#This Row],[Cliente]],'BASE DE CLIENTES'!A:D,4,0)</f>
        <v>SERRALHEIRO</v>
      </c>
      <c r="L6072" s="1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1" t="str">
        <f>VLOOKUP(Tabela1[[#This Row],[Cliente]],'BASE DE CLIENTES'!A:E,2,0)</f>
        <v>MERCADO LIVRE</v>
      </c>
      <c r="D6073" s="1" t="str">
        <f>VLOOKUP(Tabela1[[#This Row],[Cliente]],'BASE DE CLIENTES'!A:C,3,0)</f>
        <v>MERCADO LIVRE</v>
      </c>
      <c r="E6073" s="1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3">
        <f>Tabela1[[#This Row],[MARGEM BRUTA]]/Tabela1[[#This Row],[Valor total]]</f>
        <v>1</v>
      </c>
      <c r="K6073" s="1" t="str">
        <f>VLOOKUP(Tabela1[[#This Row],[Cliente]],'BASE DE CLIENTES'!A:D,4,0)</f>
        <v>OUTROS RAMOS</v>
      </c>
      <c r="L6073" s="1" t="str">
        <f>VLOOKUP(Tabela1[[#This Row],[Cliente]],'BASE DE CLIENTES'!A:E,5,0)</f>
        <v>MERCADO LIVRE</v>
      </c>
    </row>
    <row r="6074" spans="2:12" x14ac:dyDescent="0.3">
      <c r="B6074" t="s">
        <v>23</v>
      </c>
      <c r="C6074" s="1" t="str">
        <f>VLOOKUP(Tabela1[[#This Row],[Cliente]],'BASE DE CLIENTES'!A:E,2,0)</f>
        <v>Brasília</v>
      </c>
      <c r="D6074" s="1" t="str">
        <f>VLOOKUP(Tabela1[[#This Row],[Cliente]],'BASE DE CLIENTES'!A:C,3,0)</f>
        <v>DF</v>
      </c>
      <c r="E6074" s="1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3">
        <f>Tabela1[[#This Row],[MARGEM BRUTA]]/Tabela1[[#This Row],[Valor total]]</f>
        <v>0.32246601941747577</v>
      </c>
      <c r="K6074" s="1" t="str">
        <f>VLOOKUP(Tabela1[[#This Row],[Cliente]],'BASE DE CLIENTES'!A:D,4,0)</f>
        <v>EMPRESA SEM MAQUINA</v>
      </c>
      <c r="L6074" s="1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1" t="str">
        <f>VLOOKUP(Tabela1[[#This Row],[Cliente]],'BASE DE CLIENTES'!A:E,2,0)</f>
        <v>MERCADO LIVRE</v>
      </c>
      <c r="D6075" s="1" t="str">
        <f>VLOOKUP(Tabela1[[#This Row],[Cliente]],'BASE DE CLIENTES'!A:C,3,0)</f>
        <v>MERCADO LIVRE</v>
      </c>
      <c r="E6075" s="1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3">
        <f>Tabela1[[#This Row],[MARGEM BRUTA]]/Tabela1[[#This Row],[Valor total]]</f>
        <v>0.68535808128808628</v>
      </c>
      <c r="K6075" s="1" t="str">
        <f>VLOOKUP(Tabela1[[#This Row],[Cliente]],'BASE DE CLIENTES'!A:D,4,0)</f>
        <v>OUTROS RAMOS</v>
      </c>
      <c r="L6075" s="1" t="str">
        <f>VLOOKUP(Tabela1[[#This Row],[Cliente]],'BASE DE CLIENTES'!A:E,5,0)</f>
        <v>MERCADO LIVRE</v>
      </c>
    </row>
    <row r="6076" spans="2:12" x14ac:dyDescent="0.3">
      <c r="B6076" t="s">
        <v>1223</v>
      </c>
      <c r="C6076" s="1" t="str">
        <f>VLOOKUP(Tabela1[[#This Row],[Cliente]],'BASE DE CLIENTES'!A:E,2,0)</f>
        <v>MERCADO LIVRE</v>
      </c>
      <c r="D6076" s="1" t="str">
        <f>VLOOKUP(Tabela1[[#This Row],[Cliente]],'BASE DE CLIENTES'!A:C,3,0)</f>
        <v>MERCADO LIVRE</v>
      </c>
      <c r="E6076" s="1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3">
        <f>Tabela1[[#This Row],[MARGEM BRUTA]]/Tabela1[[#This Row],[Valor total]]</f>
        <v>0.71641640632873127</v>
      </c>
      <c r="K6076" s="1" t="str">
        <f>VLOOKUP(Tabela1[[#This Row],[Cliente]],'BASE DE CLIENTES'!A:D,4,0)</f>
        <v>OUTROS RAMOS</v>
      </c>
      <c r="L6076" s="1" t="str">
        <f>VLOOKUP(Tabela1[[#This Row],[Cliente]],'BASE DE CLIENTES'!A:E,5,0)</f>
        <v>MERCADO LIVRE</v>
      </c>
    </row>
    <row r="6077" spans="2:12" x14ac:dyDescent="0.3">
      <c r="B6077" t="s">
        <v>1223</v>
      </c>
      <c r="C6077" s="1" t="str">
        <f>VLOOKUP(Tabela1[[#This Row],[Cliente]],'BASE DE CLIENTES'!A:E,2,0)</f>
        <v>MERCADO LIVRE</v>
      </c>
      <c r="D6077" s="1" t="str">
        <f>VLOOKUP(Tabela1[[#This Row],[Cliente]],'BASE DE CLIENTES'!A:C,3,0)</f>
        <v>MERCADO LIVRE</v>
      </c>
      <c r="E6077" s="1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3">
        <f>Tabela1[[#This Row],[MARGEM BRUTA]]/Tabela1[[#This Row],[Valor total]]</f>
        <v>0.68535808128808628</v>
      </c>
      <c r="K6077" s="1" t="str">
        <f>VLOOKUP(Tabela1[[#This Row],[Cliente]],'BASE DE CLIENTES'!A:D,4,0)</f>
        <v>OUTROS RAMOS</v>
      </c>
      <c r="L6077" s="1" t="str">
        <f>VLOOKUP(Tabela1[[#This Row],[Cliente]],'BASE DE CLIENTES'!A:E,5,0)</f>
        <v>MERCADO LIVRE</v>
      </c>
    </row>
    <row r="6078" spans="2:12" x14ac:dyDescent="0.3">
      <c r="B6078" t="s">
        <v>96</v>
      </c>
      <c r="C6078" s="1" t="str">
        <f>VLOOKUP(Tabela1[[#This Row],[Cliente]],'BASE DE CLIENTES'!A:E,2,0)</f>
        <v>Brasília</v>
      </c>
      <c r="D6078" s="1" t="str">
        <f>VLOOKUP(Tabela1[[#This Row],[Cliente]],'BASE DE CLIENTES'!A:C,3,0)</f>
        <v>DF</v>
      </c>
      <c r="E6078" s="1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3">
        <f>Tabela1[[#This Row],[MARGEM BRUTA]]/Tabela1[[#This Row],[Valor total]]</f>
        <v>0.36312104034678222</v>
      </c>
      <c r="K6078" s="1" t="str">
        <f>VLOOKUP(Tabela1[[#This Row],[Cliente]],'BASE DE CLIENTES'!A:D,4,0)</f>
        <v>EMPRESA SEM MAQUINA</v>
      </c>
      <c r="L6078" s="1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1" t="str">
        <f>VLOOKUP(Tabela1[[#This Row],[Cliente]],'BASE DE CLIENTES'!A:E,2,0)</f>
        <v>Águas Lindas de Goiás</v>
      </c>
      <c r="D6079" s="1" t="str">
        <f>VLOOKUP(Tabela1[[#This Row],[Cliente]],'BASE DE CLIENTES'!A:C,3,0)</f>
        <v>GO</v>
      </c>
      <c r="E6079" s="1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3">
        <f>Tabela1[[#This Row],[MARGEM BRUTA]]/Tabela1[[#This Row],[Valor total]]</f>
        <v>0.40142857142857141</v>
      </c>
      <c r="K6079" s="1" t="str">
        <f>VLOOKUP(Tabela1[[#This Row],[Cliente]],'BASE DE CLIENTES'!A:D,4,0)</f>
        <v>SERRALHEIRO</v>
      </c>
      <c r="L6079" s="1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1" t="str">
        <f>VLOOKUP(Tabela1[[#This Row],[Cliente]],'BASE DE CLIENTES'!A:E,2,0)</f>
        <v>MERCADO LIVRE</v>
      </c>
      <c r="D6080" s="1" t="str">
        <f>VLOOKUP(Tabela1[[#This Row],[Cliente]],'BASE DE CLIENTES'!A:C,3,0)</f>
        <v>MERCADO LIVRE</v>
      </c>
      <c r="E6080" s="1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3">
        <f>Tabela1[[#This Row],[MARGEM BRUTA]]/Tabela1[[#This Row],[Valor total]]</f>
        <v>-0.12329499866274403</v>
      </c>
      <c r="K6080" s="1" t="str">
        <f>VLOOKUP(Tabela1[[#This Row],[Cliente]],'BASE DE CLIENTES'!A:D,4,0)</f>
        <v>OUTROS RAMOS</v>
      </c>
      <c r="L6080" s="1" t="str">
        <f>VLOOKUP(Tabela1[[#This Row],[Cliente]],'BASE DE CLIENTES'!A:E,5,0)</f>
        <v>MERCADO LIVRE</v>
      </c>
    </row>
    <row r="6081" spans="2:12" x14ac:dyDescent="0.3">
      <c r="B6081" t="s">
        <v>1223</v>
      </c>
      <c r="C6081" s="1" t="str">
        <f>VLOOKUP(Tabela1[[#This Row],[Cliente]],'BASE DE CLIENTES'!A:E,2,0)</f>
        <v>MERCADO LIVRE</v>
      </c>
      <c r="D6081" s="1" t="str">
        <f>VLOOKUP(Tabela1[[#This Row],[Cliente]],'BASE DE CLIENTES'!A:C,3,0)</f>
        <v>MERCADO LIVRE</v>
      </c>
      <c r="E6081" s="1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3">
        <f>Tabela1[[#This Row],[MARGEM BRUTA]]/Tabela1[[#This Row],[Valor total]]</f>
        <v>-0.12329499866274403</v>
      </c>
      <c r="K6081" s="1" t="str">
        <f>VLOOKUP(Tabela1[[#This Row],[Cliente]],'BASE DE CLIENTES'!A:D,4,0)</f>
        <v>OUTROS RAMOS</v>
      </c>
      <c r="L6081" s="1" t="str">
        <f>VLOOKUP(Tabela1[[#This Row],[Cliente]],'BASE DE CLIENTES'!A:E,5,0)</f>
        <v>MERCADO LIVRE</v>
      </c>
    </row>
    <row r="6082" spans="2:12" x14ac:dyDescent="0.3">
      <c r="B6082" t="s">
        <v>1223</v>
      </c>
      <c r="C6082" s="1" t="str">
        <f>VLOOKUP(Tabela1[[#This Row],[Cliente]],'BASE DE CLIENTES'!A:E,2,0)</f>
        <v>MERCADO LIVRE</v>
      </c>
      <c r="D6082" s="1" t="str">
        <f>VLOOKUP(Tabela1[[#This Row],[Cliente]],'BASE DE CLIENTES'!A:C,3,0)</f>
        <v>MERCADO LIVRE</v>
      </c>
      <c r="E6082" s="1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3">
        <f>Tabela1[[#This Row],[MARGEM BRUTA]]/Tabela1[[#This Row],[Valor total]]</f>
        <v>-0.12329499866274403</v>
      </c>
      <c r="K6082" s="1" t="str">
        <f>VLOOKUP(Tabela1[[#This Row],[Cliente]],'BASE DE CLIENTES'!A:D,4,0)</f>
        <v>OUTROS RAMOS</v>
      </c>
      <c r="L6082" s="1" t="str">
        <f>VLOOKUP(Tabela1[[#This Row],[Cliente]],'BASE DE CLIENTES'!A:E,5,0)</f>
        <v>MERCADO LIVRE</v>
      </c>
    </row>
    <row r="6083" spans="2:12" x14ac:dyDescent="0.3">
      <c r="B6083" t="s">
        <v>17</v>
      </c>
      <c r="C6083" s="1" t="str">
        <f>VLOOKUP(Tabela1[[#This Row],[Cliente]],'BASE DE CLIENTES'!A:E,2,0)</f>
        <v>Águas Lindas de Goiás</v>
      </c>
      <c r="D6083" s="1" t="str">
        <f>VLOOKUP(Tabela1[[#This Row],[Cliente]],'BASE DE CLIENTES'!A:C,3,0)</f>
        <v>GO</v>
      </c>
      <c r="E6083" s="1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3">
        <f>Tabela1[[#This Row],[MARGEM BRUTA]]/Tabela1[[#This Row],[Valor total]]</f>
        <v>0.41971830985915493</v>
      </c>
      <c r="K6083" s="1" t="str">
        <f>VLOOKUP(Tabela1[[#This Row],[Cliente]],'BASE DE CLIENTES'!A:D,4,0)</f>
        <v>SERRALHEIRO</v>
      </c>
      <c r="L6083" s="1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1" t="str">
        <f>VLOOKUP(Tabela1[[#This Row],[Cliente]],'BASE DE CLIENTES'!A:E,2,0)</f>
        <v>Brasília</v>
      </c>
      <c r="D6084" s="1" t="str">
        <f>VLOOKUP(Tabela1[[#This Row],[Cliente]],'BASE DE CLIENTES'!A:C,3,0)</f>
        <v>DF</v>
      </c>
      <c r="E6084" s="1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3">
        <f>Tabela1[[#This Row],[MARGEM BRUTA]]/Tabela1[[#This Row],[Valor total]]</f>
        <v>0.38741258741258744</v>
      </c>
      <c r="K6084" s="1" t="str">
        <f>VLOOKUP(Tabela1[[#This Row],[Cliente]],'BASE DE CLIENTES'!A:D,4,0)</f>
        <v>EMPRESA COM MAQUINA</v>
      </c>
      <c r="L6084" s="1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1" t="str">
        <f>VLOOKUP(Tabela1[[#This Row],[Cliente]],'BASE DE CLIENTES'!A:E,2,0)</f>
        <v>Goiânia</v>
      </c>
      <c r="D6085" s="1" t="str">
        <f>VLOOKUP(Tabela1[[#This Row],[Cliente]],'BASE DE CLIENTES'!A:C,3,0)</f>
        <v>GO</v>
      </c>
      <c r="E6085" s="1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3">
        <f>Tabela1[[#This Row],[MARGEM BRUTA]]/Tabela1[[#This Row],[Valor total]]</f>
        <v>0.27638024242424247</v>
      </c>
      <c r="K6085" s="1" t="str">
        <f>VLOOKUP(Tabela1[[#This Row],[Cliente]],'BASE DE CLIENTES'!A:D,4,0)</f>
        <v>EMPRESA COM MAQUINA</v>
      </c>
      <c r="L6085" s="1" t="str">
        <f>VLOOKUP(Tabela1[[#This Row],[Cliente]],'BASE DE CLIENTES'!A:E,5,0)</f>
        <v>Goiânia</v>
      </c>
    </row>
    <row r="6086" spans="2:12" x14ac:dyDescent="0.3">
      <c r="B6086" t="s">
        <v>38</v>
      </c>
      <c r="C6086" s="1" t="str">
        <f>VLOOKUP(Tabela1[[#This Row],[Cliente]],'BASE DE CLIENTES'!A:E,2,0)</f>
        <v>Brasília</v>
      </c>
      <c r="D6086" s="1" t="str">
        <f>VLOOKUP(Tabela1[[#This Row],[Cliente]],'BASE DE CLIENTES'!A:C,3,0)</f>
        <v>DF</v>
      </c>
      <c r="E6086" s="1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3">
        <f>Tabela1[[#This Row],[MARGEM BRUTA]]/Tabela1[[#This Row],[Valor total]]</f>
        <v>0.89142857142857146</v>
      </c>
      <c r="K6086" s="1" t="str">
        <f>VLOOKUP(Tabela1[[#This Row],[Cliente]],'BASE DE CLIENTES'!A:D,4,0)</f>
        <v>EMPRESA SEM MAQUINA</v>
      </c>
      <c r="L6086" s="1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1" t="str">
        <f>VLOOKUP(Tabela1[[#This Row],[Cliente]],'BASE DE CLIENTES'!A:E,2,0)</f>
        <v>MERCADO LIVRE</v>
      </c>
      <c r="D6087" s="1" t="str">
        <f>VLOOKUP(Tabela1[[#This Row],[Cliente]],'BASE DE CLIENTES'!A:C,3,0)</f>
        <v>MERCADO LIVRE</v>
      </c>
      <c r="E6087" s="1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3">
        <f>Tabela1[[#This Row],[MARGEM BRUTA]]/Tabela1[[#This Row],[Valor total]]</f>
        <v>0.77741744117065448</v>
      </c>
      <c r="K6087" s="1" t="str">
        <f>VLOOKUP(Tabela1[[#This Row],[Cliente]],'BASE DE CLIENTES'!A:D,4,0)</f>
        <v>OUTROS RAMOS</v>
      </c>
      <c r="L6087" s="1" t="str">
        <f>VLOOKUP(Tabela1[[#This Row],[Cliente]],'BASE DE CLIENTES'!A:E,5,0)</f>
        <v>MERCADO LIVRE</v>
      </c>
    </row>
    <row r="6088" spans="2:12" x14ac:dyDescent="0.3">
      <c r="B6088" t="s">
        <v>1141</v>
      </c>
      <c r="C6088" s="1" t="str">
        <f>VLOOKUP(Tabela1[[#This Row],[Cliente]],'BASE DE CLIENTES'!A:E,2,0)</f>
        <v>Aparecida de Goiânia</v>
      </c>
      <c r="D6088" s="1" t="str">
        <f>VLOOKUP(Tabela1[[#This Row],[Cliente]],'BASE DE CLIENTES'!A:C,3,0)</f>
        <v>GO</v>
      </c>
      <c r="E6088" s="1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3">
        <f>Tabela1[[#This Row],[MARGEM BRUTA]]/Tabela1[[#This Row],[Valor total]]</f>
        <v>0.46666666666666667</v>
      </c>
      <c r="K6088" s="1" t="str">
        <f>VLOOKUP(Tabela1[[#This Row],[Cliente]],'BASE DE CLIENTES'!A:D,4,0)</f>
        <v>CLIENTE NOVO S/ IDENT.</v>
      </c>
      <c r="L6088" s="1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1" t="str">
        <f>VLOOKUP(Tabela1[[#This Row],[Cliente]],'BASE DE CLIENTES'!A:E,2,0)</f>
        <v>MERCADO LIVRE</v>
      </c>
      <c r="D6089" s="1" t="str">
        <f>VLOOKUP(Tabela1[[#This Row],[Cliente]],'BASE DE CLIENTES'!A:C,3,0)</f>
        <v>MERCADO LIVRE</v>
      </c>
      <c r="E6089" s="1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3">
        <f>Tabela1[[#This Row],[MARGEM BRUTA]]/Tabela1[[#This Row],[Valor total]]</f>
        <v>-0.12329499866274403</v>
      </c>
      <c r="K6089" s="1" t="str">
        <f>VLOOKUP(Tabela1[[#This Row],[Cliente]],'BASE DE CLIENTES'!A:D,4,0)</f>
        <v>OUTROS RAMOS</v>
      </c>
      <c r="L6089" s="1" t="str">
        <f>VLOOKUP(Tabela1[[#This Row],[Cliente]],'BASE DE CLIENTES'!A:E,5,0)</f>
        <v>MERCADO LIVRE</v>
      </c>
    </row>
    <row r="6090" spans="2:12" x14ac:dyDescent="0.3">
      <c r="B6090" t="s">
        <v>1223</v>
      </c>
      <c r="C6090" s="1" t="str">
        <f>VLOOKUP(Tabela1[[#This Row],[Cliente]],'BASE DE CLIENTES'!A:E,2,0)</f>
        <v>MERCADO LIVRE</v>
      </c>
      <c r="D6090" s="1" t="str">
        <f>VLOOKUP(Tabela1[[#This Row],[Cliente]],'BASE DE CLIENTES'!A:C,3,0)</f>
        <v>MERCADO LIVRE</v>
      </c>
      <c r="E6090" s="1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3">
        <f>Tabela1[[#This Row],[MARGEM BRUTA]]/Tabela1[[#This Row],[Valor total]]</f>
        <v>-0.13085621970920838</v>
      </c>
      <c r="K6090" s="1" t="str">
        <f>VLOOKUP(Tabela1[[#This Row],[Cliente]],'BASE DE CLIENTES'!A:D,4,0)</f>
        <v>OUTROS RAMOS</v>
      </c>
      <c r="L6090" s="1" t="str">
        <f>VLOOKUP(Tabela1[[#This Row],[Cliente]],'BASE DE CLIENTES'!A:E,5,0)</f>
        <v>MERCADO LIVRE</v>
      </c>
    </row>
    <row r="6091" spans="2:12" x14ac:dyDescent="0.3">
      <c r="B6091" t="s">
        <v>1223</v>
      </c>
      <c r="C6091" s="1" t="str">
        <f>VLOOKUP(Tabela1[[#This Row],[Cliente]],'BASE DE CLIENTES'!A:E,2,0)</f>
        <v>MERCADO LIVRE</v>
      </c>
      <c r="D6091" s="1" t="str">
        <f>VLOOKUP(Tabela1[[#This Row],[Cliente]],'BASE DE CLIENTES'!A:C,3,0)</f>
        <v>MERCADO LIVRE</v>
      </c>
      <c r="E6091" s="1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3">
        <f>Tabela1[[#This Row],[MARGEM BRUTA]]/Tabela1[[#This Row],[Valor total]]</f>
        <v>-1.6785022595222712E-2</v>
      </c>
      <c r="K6091" s="1" t="str">
        <f>VLOOKUP(Tabela1[[#This Row],[Cliente]],'BASE DE CLIENTES'!A:D,4,0)</f>
        <v>OUTROS RAMOS</v>
      </c>
      <c r="L6091" s="1" t="str">
        <f>VLOOKUP(Tabela1[[#This Row],[Cliente]],'BASE DE CLIENTES'!A:E,5,0)</f>
        <v>MERCADO LIVRE</v>
      </c>
    </row>
    <row r="6092" spans="2:12" x14ac:dyDescent="0.3">
      <c r="B6092" t="s">
        <v>1223</v>
      </c>
      <c r="C6092" s="1" t="str">
        <f>VLOOKUP(Tabela1[[#This Row],[Cliente]],'BASE DE CLIENTES'!A:E,2,0)</f>
        <v>MERCADO LIVRE</v>
      </c>
      <c r="D6092" s="1" t="str">
        <f>VLOOKUP(Tabela1[[#This Row],[Cliente]],'BASE DE CLIENTES'!A:C,3,0)</f>
        <v>MERCADO LIVRE</v>
      </c>
      <c r="E6092" s="1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3">
        <f>Tabela1[[#This Row],[MARGEM BRUTA]]/Tabela1[[#This Row],[Valor total]]</f>
        <v>-0.13085621970920838</v>
      </c>
      <c r="K6092" s="1" t="str">
        <f>VLOOKUP(Tabela1[[#This Row],[Cliente]],'BASE DE CLIENTES'!A:D,4,0)</f>
        <v>OUTROS RAMOS</v>
      </c>
      <c r="L6092" s="1" t="str">
        <f>VLOOKUP(Tabela1[[#This Row],[Cliente]],'BASE DE CLIENTES'!A:E,5,0)</f>
        <v>MERCADO LIVRE</v>
      </c>
    </row>
    <row r="6093" spans="2:12" x14ac:dyDescent="0.3">
      <c r="B6093" t="s">
        <v>1223</v>
      </c>
      <c r="C6093" s="1" t="str">
        <f>VLOOKUP(Tabela1[[#This Row],[Cliente]],'BASE DE CLIENTES'!A:E,2,0)</f>
        <v>MERCADO LIVRE</v>
      </c>
      <c r="D6093" s="1" t="str">
        <f>VLOOKUP(Tabela1[[#This Row],[Cliente]],'BASE DE CLIENTES'!A:C,3,0)</f>
        <v>MERCADO LIVRE</v>
      </c>
      <c r="E6093" s="1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3">
        <f>Tabela1[[#This Row],[MARGEM BRUTA]]/Tabela1[[#This Row],[Valor total]]</f>
        <v>-1.6702977487291156E-2</v>
      </c>
      <c r="K6093" s="1" t="str">
        <f>VLOOKUP(Tabela1[[#This Row],[Cliente]],'BASE DE CLIENTES'!A:D,4,0)</f>
        <v>OUTROS RAMOS</v>
      </c>
      <c r="L6093" s="1" t="str">
        <f>VLOOKUP(Tabela1[[#This Row],[Cliente]],'BASE DE CLIENTES'!A:E,5,0)</f>
        <v>MERCADO LIVRE</v>
      </c>
    </row>
    <row r="6094" spans="2:12" x14ac:dyDescent="0.3">
      <c r="B6094" t="s">
        <v>1223</v>
      </c>
      <c r="C6094" s="1" t="str">
        <f>VLOOKUP(Tabela1[[#This Row],[Cliente]],'BASE DE CLIENTES'!A:E,2,0)</f>
        <v>MERCADO LIVRE</v>
      </c>
      <c r="D6094" s="1" t="str">
        <f>VLOOKUP(Tabela1[[#This Row],[Cliente]],'BASE DE CLIENTES'!A:C,3,0)</f>
        <v>MERCADO LIVRE</v>
      </c>
      <c r="E6094" s="1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3">
        <f>Tabela1[[#This Row],[MARGEM BRUTA]]/Tabela1[[#This Row],[Valor total]]</f>
        <v>1</v>
      </c>
      <c r="K6094" s="1" t="str">
        <f>VLOOKUP(Tabela1[[#This Row],[Cliente]],'BASE DE CLIENTES'!A:D,4,0)</f>
        <v>OUTROS RAMOS</v>
      </c>
      <c r="L6094" s="1" t="str">
        <f>VLOOKUP(Tabela1[[#This Row],[Cliente]],'BASE DE CLIENTES'!A:E,5,0)</f>
        <v>MERCADO LIVRE</v>
      </c>
    </row>
    <row r="6095" spans="2:12" x14ac:dyDescent="0.3">
      <c r="B6095" t="s">
        <v>68</v>
      </c>
      <c r="C6095" s="1" t="str">
        <f>VLOOKUP(Tabela1[[#This Row],[Cliente]],'BASE DE CLIENTES'!A:E,2,0)</f>
        <v>Brasília</v>
      </c>
      <c r="D6095" s="1" t="str">
        <f>VLOOKUP(Tabela1[[#This Row],[Cliente]],'BASE DE CLIENTES'!A:C,3,0)</f>
        <v>DF</v>
      </c>
      <c r="E6095" s="1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3">
        <f>Tabela1[[#This Row],[MARGEM BRUTA]]/Tabela1[[#This Row],[Valor total]]</f>
        <v>0.38066242038216558</v>
      </c>
      <c r="K6095" s="1" t="str">
        <f>VLOOKUP(Tabela1[[#This Row],[Cliente]],'BASE DE CLIENTES'!A:D,4,0)</f>
        <v>EMPRESA COM MAQUINA</v>
      </c>
      <c r="L6095" s="1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1" t="str">
        <f>VLOOKUP(Tabela1[[#This Row],[Cliente]],'BASE DE CLIENTES'!A:E,2,0)</f>
        <v>Brasília</v>
      </c>
      <c r="D6096" s="1" t="str">
        <f>VLOOKUP(Tabela1[[#This Row],[Cliente]],'BASE DE CLIENTES'!A:C,3,0)</f>
        <v>DF</v>
      </c>
      <c r="E6096" s="1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3">
        <f>Tabela1[[#This Row],[MARGEM BRUTA]]/Tabela1[[#This Row],[Valor total]]</f>
        <v>0.58907142857142858</v>
      </c>
      <c r="K6096" s="1" t="str">
        <f>VLOOKUP(Tabela1[[#This Row],[Cliente]],'BASE DE CLIENTES'!A:D,4,0)</f>
        <v>EMPRESA SEM MAQUINA</v>
      </c>
      <c r="L6096" s="1" t="str">
        <f>VLOOKUP(Tabela1[[#This Row],[Cliente]],'BASE DE CLIENTES'!A:E,5,0)</f>
        <v>SOBRADINHO</v>
      </c>
    </row>
    <row r="6097" spans="2:12" x14ac:dyDescent="0.3">
      <c r="B6097" t="s">
        <v>15</v>
      </c>
      <c r="C6097" s="1" t="str">
        <f>VLOOKUP(Tabela1[[#This Row],[Cliente]],'BASE DE CLIENTES'!A:E,2,0)</f>
        <v>Brasília</v>
      </c>
      <c r="D6097" s="1" t="str">
        <f>VLOOKUP(Tabela1[[#This Row],[Cliente]],'BASE DE CLIENTES'!A:C,3,0)</f>
        <v>DF</v>
      </c>
      <c r="E6097" s="1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3">
        <f>Tabela1[[#This Row],[MARGEM BRUTA]]/Tabela1[[#This Row],[Valor total]]</f>
        <v>0.36666666666666664</v>
      </c>
      <c r="K6097" s="1" t="str">
        <f>VLOOKUP(Tabela1[[#This Row],[Cliente]],'BASE DE CLIENTES'!A:D,4,0)</f>
        <v>SERRALHEIRO</v>
      </c>
      <c r="L6097" s="1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1" t="str">
        <f>VLOOKUP(Tabela1[[#This Row],[Cliente]],'BASE DE CLIENTES'!A:E,2,0)</f>
        <v>Brasília</v>
      </c>
      <c r="D6098" s="1" t="str">
        <f>VLOOKUP(Tabela1[[#This Row],[Cliente]],'BASE DE CLIENTES'!A:C,3,0)</f>
        <v>DF</v>
      </c>
      <c r="E6098" s="1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3">
        <f>Tabela1[[#This Row],[MARGEM BRUTA]]/Tabela1[[#This Row],[Valor total]]</f>
        <v>0.33974895397489541</v>
      </c>
      <c r="K6098" s="1" t="str">
        <f>VLOOKUP(Tabela1[[#This Row],[Cliente]],'BASE DE CLIENTES'!A:D,4,0)</f>
        <v>CLIENTE NOVO S/ IDENT.</v>
      </c>
      <c r="L6098" s="1" t="str">
        <f>VLOOKUP(Tabela1[[#This Row],[Cliente]],'BASE DE CLIENTES'!A:E,5,0)</f>
        <v>Brasília</v>
      </c>
    </row>
    <row r="6099" spans="2:12" x14ac:dyDescent="0.3">
      <c r="B6099" t="s">
        <v>260</v>
      </c>
      <c r="C6099" s="1" t="str">
        <f>VLOOKUP(Tabela1[[#This Row],[Cliente]],'BASE DE CLIENTES'!A:E,2,0)</f>
        <v>Luziânia</v>
      </c>
      <c r="D6099" s="1" t="str">
        <f>VLOOKUP(Tabela1[[#This Row],[Cliente]],'BASE DE CLIENTES'!A:C,3,0)</f>
        <v>GO</v>
      </c>
      <c r="E6099" s="1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3">
        <f>Tabela1[[#This Row],[MARGEM BRUTA]]/Tabela1[[#This Row],[Valor total]]</f>
        <v>0.69600000000000006</v>
      </c>
      <c r="K6099" s="1" t="str">
        <f>VLOOKUP(Tabela1[[#This Row],[Cliente]],'BASE DE CLIENTES'!A:D,4,0)</f>
        <v>SERRALHEIRO</v>
      </c>
      <c r="L6099" s="1" t="str">
        <f>VLOOKUP(Tabela1[[#This Row],[Cliente]],'BASE DE CLIENTES'!A:E,5,0)</f>
        <v>Luziânia</v>
      </c>
    </row>
    <row r="6100" spans="2:12" x14ac:dyDescent="0.3">
      <c r="B6100" t="s">
        <v>1223</v>
      </c>
      <c r="C6100" s="1" t="str">
        <f>VLOOKUP(Tabela1[[#This Row],[Cliente]],'BASE DE CLIENTES'!A:E,2,0)</f>
        <v>MERCADO LIVRE</v>
      </c>
      <c r="D6100" s="1" t="str">
        <f>VLOOKUP(Tabela1[[#This Row],[Cliente]],'BASE DE CLIENTES'!A:C,3,0)</f>
        <v>MERCADO LIVRE</v>
      </c>
      <c r="E6100" s="1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3">
        <f>Tabela1[[#This Row],[MARGEM BRUTA]]/Tabela1[[#This Row],[Valor total]]</f>
        <v>0.3910830197410885</v>
      </c>
      <c r="K6100" s="1" t="str">
        <f>VLOOKUP(Tabela1[[#This Row],[Cliente]],'BASE DE CLIENTES'!A:D,4,0)</f>
        <v>OUTROS RAMOS</v>
      </c>
      <c r="L6100" s="1" t="str">
        <f>VLOOKUP(Tabela1[[#This Row],[Cliente]],'BASE DE CLIENTES'!A:E,5,0)</f>
        <v>MERCADO LIVRE</v>
      </c>
    </row>
    <row r="6101" spans="2:12" x14ac:dyDescent="0.3">
      <c r="B6101" t="s">
        <v>773</v>
      </c>
      <c r="C6101" s="1" t="str">
        <f>VLOOKUP(Tabela1[[#This Row],[Cliente]],'BASE DE CLIENTES'!A:E,2,0)</f>
        <v>Brasília</v>
      </c>
      <c r="D6101" s="1" t="str">
        <f>VLOOKUP(Tabela1[[#This Row],[Cliente]],'BASE DE CLIENTES'!A:C,3,0)</f>
        <v>DF</v>
      </c>
      <c r="E6101" s="1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3">
        <f>Tabela1[[#This Row],[MARGEM BRUTA]]/Tabela1[[#This Row],[Valor total]]</f>
        <v>0.41805555555555557</v>
      </c>
      <c r="K6101" s="1" t="str">
        <f>VLOOKUP(Tabela1[[#This Row],[Cliente]],'BASE DE CLIENTES'!A:D,4,0)</f>
        <v>CLIENTE NOVO S/ IDENT.</v>
      </c>
      <c r="L6101" s="1" t="str">
        <f>VLOOKUP(Tabela1[[#This Row],[Cliente]],'BASE DE CLIENTES'!A:E,5,0)</f>
        <v>Itapoã</v>
      </c>
    </row>
    <row r="6102" spans="2:12" x14ac:dyDescent="0.3">
      <c r="B6102" t="s">
        <v>102</v>
      </c>
      <c r="C6102" s="1" t="str">
        <f>VLOOKUP(Tabela1[[#This Row],[Cliente]],'BASE DE CLIENTES'!A:E,2,0)</f>
        <v>Brasília</v>
      </c>
      <c r="D6102" s="1" t="str">
        <f>VLOOKUP(Tabela1[[#This Row],[Cliente]],'BASE DE CLIENTES'!A:C,3,0)</f>
        <v>DF</v>
      </c>
      <c r="E6102" s="1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3">
        <f>Tabela1[[#This Row],[MARGEM BRUTA]]/Tabela1[[#This Row],[Valor total]]</f>
        <v>0.40625</v>
      </c>
      <c r="K6102" s="1" t="str">
        <f>VLOOKUP(Tabela1[[#This Row],[Cliente]],'BASE DE CLIENTES'!A:D,4,0)</f>
        <v>SERRALHEIRO</v>
      </c>
      <c r="L6102" s="1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1" t="str">
        <f>VLOOKUP(Tabela1[[#This Row],[Cliente]],'BASE DE CLIENTES'!A:E,2,0)</f>
        <v>Brasília</v>
      </c>
      <c r="D6103" s="1" t="str">
        <f>VLOOKUP(Tabela1[[#This Row],[Cliente]],'BASE DE CLIENTES'!A:C,3,0)</f>
        <v>DF</v>
      </c>
      <c r="E6103" s="1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3">
        <f>Tabela1[[#This Row],[MARGEM BRUTA]]/Tabela1[[#This Row],[Valor total]]</f>
        <v>0.34434782608695652</v>
      </c>
      <c r="K6103" s="1" t="str">
        <f>VLOOKUP(Tabela1[[#This Row],[Cliente]],'BASE DE CLIENTES'!A:D,4,0)</f>
        <v>EMPRESA SEM MAQUINA</v>
      </c>
      <c r="L6103" s="1" t="str">
        <f>VLOOKUP(Tabela1[[#This Row],[Cliente]],'BASE DE CLIENTES'!A:E,5,0)</f>
        <v>SAMAMBAIA</v>
      </c>
    </row>
    <row r="6104" spans="2:12" x14ac:dyDescent="0.3">
      <c r="B6104" t="s">
        <v>1223</v>
      </c>
      <c r="C6104" s="1" t="str">
        <f>VLOOKUP(Tabela1[[#This Row],[Cliente]],'BASE DE CLIENTES'!A:E,2,0)</f>
        <v>MERCADO LIVRE</v>
      </c>
      <c r="D6104" s="1" t="str">
        <f>VLOOKUP(Tabela1[[#This Row],[Cliente]],'BASE DE CLIENTES'!A:C,3,0)</f>
        <v>MERCADO LIVRE</v>
      </c>
      <c r="E6104" s="1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3">
        <f>Tabela1[[#This Row],[MARGEM BRUTA]]/Tabela1[[#This Row],[Valor total]]</f>
        <v>-0.13085621970920838</v>
      </c>
      <c r="K6104" s="1" t="str">
        <f>VLOOKUP(Tabela1[[#This Row],[Cliente]],'BASE DE CLIENTES'!A:D,4,0)</f>
        <v>OUTROS RAMOS</v>
      </c>
      <c r="L6104" s="1" t="str">
        <f>VLOOKUP(Tabela1[[#This Row],[Cliente]],'BASE DE CLIENTES'!A:E,5,0)</f>
        <v>MERCADO LIVRE</v>
      </c>
    </row>
    <row r="6105" spans="2:12" x14ac:dyDescent="0.3">
      <c r="B6105" t="s">
        <v>1223</v>
      </c>
      <c r="C6105" s="1" t="str">
        <f>VLOOKUP(Tabela1[[#This Row],[Cliente]],'BASE DE CLIENTES'!A:E,2,0)</f>
        <v>MERCADO LIVRE</v>
      </c>
      <c r="D6105" s="1" t="str">
        <f>VLOOKUP(Tabela1[[#This Row],[Cliente]],'BASE DE CLIENTES'!A:C,3,0)</f>
        <v>MERCADO LIVRE</v>
      </c>
      <c r="E6105" s="1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3">
        <f>Tabela1[[#This Row],[MARGEM BRUTA]]/Tabela1[[#This Row],[Valor total]]</f>
        <v>0.7082123600165906</v>
      </c>
      <c r="K6105" s="1" t="str">
        <f>VLOOKUP(Tabela1[[#This Row],[Cliente]],'BASE DE CLIENTES'!A:D,4,0)</f>
        <v>OUTROS RAMOS</v>
      </c>
      <c r="L6105" s="1" t="str">
        <f>VLOOKUP(Tabela1[[#This Row],[Cliente]],'BASE DE CLIENTES'!A:E,5,0)</f>
        <v>MERCADO LIVRE</v>
      </c>
    </row>
    <row r="6106" spans="2:12" x14ac:dyDescent="0.3">
      <c r="B6106" t="s">
        <v>1223</v>
      </c>
      <c r="C6106" s="1" t="str">
        <f>VLOOKUP(Tabela1[[#This Row],[Cliente]],'BASE DE CLIENTES'!A:E,2,0)</f>
        <v>MERCADO LIVRE</v>
      </c>
      <c r="D6106" s="1" t="str">
        <f>VLOOKUP(Tabela1[[#This Row],[Cliente]],'BASE DE CLIENTES'!A:C,3,0)</f>
        <v>MERCADO LIVRE</v>
      </c>
      <c r="E6106" s="1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3">
        <f>Tabela1[[#This Row],[MARGEM BRUTA]]/Tabela1[[#This Row],[Valor total]]</f>
        <v>0.71145860035888231</v>
      </c>
      <c r="K6106" s="1" t="str">
        <f>VLOOKUP(Tabela1[[#This Row],[Cliente]],'BASE DE CLIENTES'!A:D,4,0)</f>
        <v>OUTROS RAMOS</v>
      </c>
      <c r="L6106" s="1" t="str">
        <f>VLOOKUP(Tabela1[[#This Row],[Cliente]],'BASE DE CLIENTES'!A:E,5,0)</f>
        <v>MERCADO LIVRE</v>
      </c>
    </row>
    <row r="6107" spans="2:12" x14ac:dyDescent="0.3">
      <c r="B6107" t="s">
        <v>42</v>
      </c>
      <c r="C6107" s="1" t="str">
        <f>VLOOKUP(Tabela1[[#This Row],[Cliente]],'BASE DE CLIENTES'!A:E,2,0)</f>
        <v>Brasília</v>
      </c>
      <c r="D6107" s="1" t="str">
        <f>VLOOKUP(Tabela1[[#This Row],[Cliente]],'BASE DE CLIENTES'!A:C,3,0)</f>
        <v>DF</v>
      </c>
      <c r="E6107" s="1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3">
        <f>Tabela1[[#This Row],[MARGEM BRUTA]]/Tabela1[[#This Row],[Valor total]]</f>
        <v>0.38174666666666668</v>
      </c>
      <c r="K6107" s="1" t="str">
        <f>VLOOKUP(Tabela1[[#This Row],[Cliente]],'BASE DE CLIENTES'!A:D,4,0)</f>
        <v>EMPRESA SEM MAQUINA</v>
      </c>
      <c r="L6107" s="1" t="str">
        <f>VLOOKUP(Tabela1[[#This Row],[Cliente]],'BASE DE CLIENTES'!A:E,5,0)</f>
        <v>SAMAMBAIA</v>
      </c>
    </row>
    <row r="6108" spans="2:12" x14ac:dyDescent="0.3">
      <c r="B6108" t="s">
        <v>36</v>
      </c>
      <c r="C6108" s="1" t="str">
        <f>VLOOKUP(Tabela1[[#This Row],[Cliente]],'BASE DE CLIENTES'!A:E,2,0)</f>
        <v>Brasília</v>
      </c>
      <c r="D6108" s="1" t="str">
        <f>VLOOKUP(Tabela1[[#This Row],[Cliente]],'BASE DE CLIENTES'!A:C,3,0)</f>
        <v>DF</v>
      </c>
      <c r="E6108" s="1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3">
        <f>Tabela1[[#This Row],[MARGEM BRUTA]]/Tabela1[[#This Row],[Valor total]]</f>
        <v>0.77272727272727271</v>
      </c>
      <c r="K6108" s="1" t="str">
        <f>VLOOKUP(Tabela1[[#This Row],[Cliente]],'BASE DE CLIENTES'!A:D,4,0)</f>
        <v>SERRALHEIRO</v>
      </c>
      <c r="L6108" s="1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1" t="str">
        <f>VLOOKUP(Tabela1[[#This Row],[Cliente]],'BASE DE CLIENTES'!A:E,2,0)</f>
        <v>Brasília</v>
      </c>
      <c r="D6109" s="1" t="str">
        <f>VLOOKUP(Tabela1[[#This Row],[Cliente]],'BASE DE CLIENTES'!A:C,3,0)</f>
        <v>DF</v>
      </c>
      <c r="E6109" s="1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3">
        <f>Tabela1[[#This Row],[MARGEM BRUTA]]/Tabela1[[#This Row],[Valor total]]</f>
        <v>0.44851063829787235</v>
      </c>
      <c r="K6109" s="1" t="str">
        <f>VLOOKUP(Tabela1[[#This Row],[Cliente]],'BASE DE CLIENTES'!A:D,4,0)</f>
        <v>CLIENTE NOVO S/ IDENT.</v>
      </c>
      <c r="L6109" s="1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1" t="str">
        <f>VLOOKUP(Tabela1[[#This Row],[Cliente]],'BASE DE CLIENTES'!A:E,2,0)</f>
        <v>MERCADO LIVRE</v>
      </c>
      <c r="D6110" s="1" t="str">
        <f>VLOOKUP(Tabela1[[#This Row],[Cliente]],'BASE DE CLIENTES'!A:C,3,0)</f>
        <v>MERCADO LIVRE</v>
      </c>
      <c r="E6110" s="1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3">
        <f>Tabela1[[#This Row],[MARGEM BRUTA]]/Tabela1[[#This Row],[Valor total]]</f>
        <v>0.71145860035888231</v>
      </c>
      <c r="K6110" s="1" t="str">
        <f>VLOOKUP(Tabela1[[#This Row],[Cliente]],'BASE DE CLIENTES'!A:D,4,0)</f>
        <v>OUTROS RAMOS</v>
      </c>
      <c r="L6110" s="1" t="str">
        <f>VLOOKUP(Tabela1[[#This Row],[Cliente]],'BASE DE CLIENTES'!A:E,5,0)</f>
        <v>MERCADO LIVRE</v>
      </c>
    </row>
    <row r="6111" spans="2:12" x14ac:dyDescent="0.3">
      <c r="B6111" t="s">
        <v>1200</v>
      </c>
      <c r="C6111" s="1" t="str">
        <f>VLOOKUP(Tabela1[[#This Row],[Cliente]],'BASE DE CLIENTES'!A:E,2,0)</f>
        <v>Maracanaú</v>
      </c>
      <c r="D6111" s="1" t="str">
        <f>VLOOKUP(Tabela1[[#This Row],[Cliente]],'BASE DE CLIENTES'!A:C,3,0)</f>
        <v>CE</v>
      </c>
      <c r="E6111" s="1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3">
        <f>Tabela1[[#This Row],[MARGEM BRUTA]]/Tabela1[[#This Row],[Valor total]]</f>
        <v>1</v>
      </c>
      <c r="K6111" s="1" t="str">
        <f>VLOOKUP(Tabela1[[#This Row],[Cliente]],'BASE DE CLIENTES'!A:D,4,0)</f>
        <v>CLIENTE NOVO S/ IDENT.</v>
      </c>
      <c r="L6111" s="1" t="str">
        <f>VLOOKUP(Tabela1[[#This Row],[Cliente]],'BASE DE CLIENTES'!A:E,5,0)</f>
        <v>Maracanaú</v>
      </c>
    </row>
    <row r="6112" spans="2:12" x14ac:dyDescent="0.3">
      <c r="B6112" t="s">
        <v>343</v>
      </c>
      <c r="C6112" s="1" t="str">
        <f>VLOOKUP(Tabela1[[#This Row],[Cliente]],'BASE DE CLIENTES'!A:E,2,0)</f>
        <v>Brasília</v>
      </c>
      <c r="D6112" s="1" t="str">
        <f>VLOOKUP(Tabela1[[#This Row],[Cliente]],'BASE DE CLIENTES'!A:C,3,0)</f>
        <v>DF</v>
      </c>
      <c r="E6112" s="1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3">
        <f>Tabela1[[#This Row],[MARGEM BRUTA]]/Tabela1[[#This Row],[Valor total]]</f>
        <v>0.4</v>
      </c>
      <c r="K6112" s="1" t="str">
        <f>VLOOKUP(Tabela1[[#This Row],[Cliente]],'BASE DE CLIENTES'!A:D,4,0)</f>
        <v>CLIENTE NOVO S/ IDENT.</v>
      </c>
      <c r="L6112" s="1" t="str">
        <f>VLOOKUP(Tabela1[[#This Row],[Cliente]],'BASE DE CLIENTES'!A:E,5,0)</f>
        <v>Brasília</v>
      </c>
    </row>
    <row r="6113" spans="2:12" x14ac:dyDescent="0.3">
      <c r="B6113" t="s">
        <v>1223</v>
      </c>
      <c r="C6113" s="1" t="str">
        <f>VLOOKUP(Tabela1[[#This Row],[Cliente]],'BASE DE CLIENTES'!A:E,2,0)</f>
        <v>MERCADO LIVRE</v>
      </c>
      <c r="D6113" s="1" t="str">
        <f>VLOOKUP(Tabela1[[#This Row],[Cliente]],'BASE DE CLIENTES'!A:C,3,0)</f>
        <v>MERCADO LIVRE</v>
      </c>
      <c r="E6113" s="1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3">
        <f>Tabela1[[#This Row],[MARGEM BRUTA]]/Tabela1[[#This Row],[Valor total]]</f>
        <v>0.42173802419448103</v>
      </c>
      <c r="K6113" s="1" t="str">
        <f>VLOOKUP(Tabela1[[#This Row],[Cliente]],'BASE DE CLIENTES'!A:D,4,0)</f>
        <v>OUTROS RAMOS</v>
      </c>
      <c r="L6113" s="1" t="str">
        <f>VLOOKUP(Tabela1[[#This Row],[Cliente]],'BASE DE CLIENTES'!A:E,5,0)</f>
        <v>MERCADO LIVRE</v>
      </c>
    </row>
    <row r="6114" spans="2:12" x14ac:dyDescent="0.3">
      <c r="B6114" t="s">
        <v>117</v>
      </c>
      <c r="C6114" s="1" t="str">
        <f>VLOOKUP(Tabela1[[#This Row],[Cliente]],'BASE DE CLIENTES'!A:E,2,0)</f>
        <v>Brasília</v>
      </c>
      <c r="D6114" s="1" t="str">
        <f>VLOOKUP(Tabela1[[#This Row],[Cliente]],'BASE DE CLIENTES'!A:C,3,0)</f>
        <v>DF</v>
      </c>
      <c r="E6114" s="1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3">
        <f>Tabela1[[#This Row],[MARGEM BRUTA]]/Tabela1[[#This Row],[Valor total]]</f>
        <v>0.46349206349206351</v>
      </c>
      <c r="K6114" s="1" t="str">
        <f>VLOOKUP(Tabela1[[#This Row],[Cliente]],'BASE DE CLIENTES'!A:D,4,0)</f>
        <v>EMPRESA COM MAQUINA</v>
      </c>
      <c r="L6114" s="1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1" t="str">
        <f>VLOOKUP(Tabela1[[#This Row],[Cliente]],'BASE DE CLIENTES'!A:E,2,0)</f>
        <v>MERCADO LIVRE</v>
      </c>
      <c r="D6115" s="1" t="str">
        <f>VLOOKUP(Tabela1[[#This Row],[Cliente]],'BASE DE CLIENTES'!A:C,3,0)</f>
        <v>MERCADO LIVRE</v>
      </c>
      <c r="E6115" s="1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3">
        <f>Tabela1[[#This Row],[MARGEM BRUTA]]/Tabela1[[#This Row],[Valor total]]</f>
        <v>-0.13085621970920838</v>
      </c>
      <c r="K6115" s="1" t="str">
        <f>VLOOKUP(Tabela1[[#This Row],[Cliente]],'BASE DE CLIENTES'!A:D,4,0)</f>
        <v>OUTROS RAMOS</v>
      </c>
      <c r="L6115" s="1" t="str">
        <f>VLOOKUP(Tabela1[[#This Row],[Cliente]],'BASE DE CLIENTES'!A:E,5,0)</f>
        <v>MERCADO LIVRE</v>
      </c>
    </row>
    <row r="6116" spans="2:12" x14ac:dyDescent="0.3">
      <c r="B6116" t="s">
        <v>110</v>
      </c>
      <c r="C6116" s="1" t="str">
        <f>VLOOKUP(Tabela1[[#This Row],[Cliente]],'BASE DE CLIENTES'!A:E,2,0)</f>
        <v>Brasília</v>
      </c>
      <c r="D6116" s="1" t="str">
        <f>VLOOKUP(Tabela1[[#This Row],[Cliente]],'BASE DE CLIENTES'!A:C,3,0)</f>
        <v>DF</v>
      </c>
      <c r="E6116" s="1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3">
        <f>Tabela1[[#This Row],[MARGEM BRUTA]]/Tabela1[[#This Row],[Valor total]]</f>
        <v>0.60106666666666664</v>
      </c>
      <c r="K6116" s="1" t="str">
        <f>VLOOKUP(Tabela1[[#This Row],[Cliente]],'BASE DE CLIENTES'!A:D,4,0)</f>
        <v>SERRALHEIRO</v>
      </c>
      <c r="L6116" s="1" t="str">
        <f>VLOOKUP(Tabela1[[#This Row],[Cliente]],'BASE DE CLIENTES'!A:E,5,0)</f>
        <v>Taguatinga sul</v>
      </c>
    </row>
    <row r="6117" spans="2:12" x14ac:dyDescent="0.3">
      <c r="B6117" t="s">
        <v>55</v>
      </c>
      <c r="C6117" s="1" t="str">
        <f>VLOOKUP(Tabela1[[#This Row],[Cliente]],'BASE DE CLIENTES'!A:E,2,0)</f>
        <v>Brasília</v>
      </c>
      <c r="D6117" s="1" t="str">
        <f>VLOOKUP(Tabela1[[#This Row],[Cliente]],'BASE DE CLIENTES'!A:C,3,0)</f>
        <v>DF</v>
      </c>
      <c r="E6117" s="1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3">
        <f>Tabela1[[#This Row],[MARGEM BRUTA]]/Tabela1[[#This Row],[Valor total]]</f>
        <v>0.36666666666666664</v>
      </c>
      <c r="K6117" s="1" t="str">
        <f>VLOOKUP(Tabela1[[#This Row],[Cliente]],'BASE DE CLIENTES'!A:D,4,0)</f>
        <v>EMPRESA SEM MAQUINA</v>
      </c>
      <c r="L6117" s="1" t="str">
        <f>VLOOKUP(Tabela1[[#This Row],[Cliente]],'BASE DE CLIENTES'!A:E,5,0)</f>
        <v>RECANTO DAS EMAS</v>
      </c>
    </row>
    <row r="6118" spans="2:12" x14ac:dyDescent="0.3">
      <c r="B6118" t="s">
        <v>66</v>
      </c>
      <c r="C6118" s="1" t="str">
        <f>VLOOKUP(Tabela1[[#This Row],[Cliente]],'BASE DE CLIENTES'!A:E,2,0)</f>
        <v>Águas Lindas de Goiás</v>
      </c>
      <c r="D6118" s="1" t="str">
        <f>VLOOKUP(Tabela1[[#This Row],[Cliente]],'BASE DE CLIENTES'!A:C,3,0)</f>
        <v>GO</v>
      </c>
      <c r="E6118" s="1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3">
        <f>Tabela1[[#This Row],[MARGEM BRUTA]]/Tabela1[[#This Row],[Valor total]]</f>
        <v>0.35661375661375661</v>
      </c>
      <c r="K6118" s="1" t="str">
        <f>VLOOKUP(Tabela1[[#This Row],[Cliente]],'BASE DE CLIENTES'!A:D,4,0)</f>
        <v>EMPRESA COM MAQUINA</v>
      </c>
      <c r="L6118" s="1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1" t="str">
        <f>VLOOKUP(Tabela1[[#This Row],[Cliente]],'BASE DE CLIENTES'!A:E,2,0)</f>
        <v>Brasília</v>
      </c>
      <c r="D6119" s="1" t="str">
        <f>VLOOKUP(Tabela1[[#This Row],[Cliente]],'BASE DE CLIENTES'!A:C,3,0)</f>
        <v>DF</v>
      </c>
      <c r="E6119" s="1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3">
        <f>Tabela1[[#This Row],[MARGEM BRUTA]]/Tabela1[[#This Row],[Valor total]]</f>
        <v>0.35538461538461541</v>
      </c>
      <c r="K6119" s="1" t="str">
        <f>VLOOKUP(Tabela1[[#This Row],[Cliente]],'BASE DE CLIENTES'!A:D,4,0)</f>
        <v>EMPRESA SEM MAQUINA</v>
      </c>
      <c r="L6119" s="1" t="str">
        <f>VLOOKUP(Tabela1[[#This Row],[Cliente]],'BASE DE CLIENTES'!A:E,5,0)</f>
        <v>SOBRADINHO</v>
      </c>
    </row>
    <row r="6120" spans="2:12" x14ac:dyDescent="0.3">
      <c r="B6120" t="s">
        <v>343</v>
      </c>
      <c r="C6120" s="1" t="str">
        <f>VLOOKUP(Tabela1[[#This Row],[Cliente]],'BASE DE CLIENTES'!A:E,2,0)</f>
        <v>Brasília</v>
      </c>
      <c r="D6120" s="1" t="str">
        <f>VLOOKUP(Tabela1[[#This Row],[Cliente]],'BASE DE CLIENTES'!A:C,3,0)</f>
        <v>DF</v>
      </c>
      <c r="E6120" s="1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3">
        <f>Tabela1[[#This Row],[MARGEM BRUTA]]/Tabela1[[#This Row],[Valor total]]</f>
        <v>0.51428571428571423</v>
      </c>
      <c r="K6120" s="1" t="str">
        <f>VLOOKUP(Tabela1[[#This Row],[Cliente]],'BASE DE CLIENTES'!A:D,4,0)</f>
        <v>CLIENTE NOVO S/ IDENT.</v>
      </c>
      <c r="L6120" s="1" t="str">
        <f>VLOOKUP(Tabela1[[#This Row],[Cliente]],'BASE DE CLIENTES'!A:E,5,0)</f>
        <v>Brasília</v>
      </c>
    </row>
    <row r="6121" spans="2:12" x14ac:dyDescent="0.3">
      <c r="B6121" t="s">
        <v>1136</v>
      </c>
      <c r="C6121" s="1" t="str">
        <f>VLOOKUP(Tabela1[[#This Row],[Cliente]],'BASE DE CLIENTES'!A:E,2,0)</f>
        <v>Brasília</v>
      </c>
      <c r="D6121" s="1" t="str">
        <f>VLOOKUP(Tabela1[[#This Row],[Cliente]],'BASE DE CLIENTES'!A:C,3,0)</f>
        <v>DF</v>
      </c>
      <c r="E6121" s="1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3">
        <f>Tabela1[[#This Row],[MARGEM BRUTA]]/Tabela1[[#This Row],[Valor total]]</f>
        <v>0.30844827586206897</v>
      </c>
      <c r="K6121" s="1" t="str">
        <f>VLOOKUP(Tabela1[[#This Row],[Cliente]],'BASE DE CLIENTES'!A:D,4,0)</f>
        <v>CLIENTE NOVO S/ IDENT.</v>
      </c>
      <c r="L6121" s="1" t="str">
        <f>VLOOKUP(Tabela1[[#This Row],[Cliente]],'BASE DE CLIENTES'!A:E,5,0)</f>
        <v>Ceilândia</v>
      </c>
    </row>
    <row r="6122" spans="2:12" x14ac:dyDescent="0.3">
      <c r="B6122" t="s">
        <v>253</v>
      </c>
      <c r="C6122" s="1" t="str">
        <f>VLOOKUP(Tabela1[[#This Row],[Cliente]],'BASE DE CLIENTES'!A:E,2,0)</f>
        <v>Luziânia</v>
      </c>
      <c r="D6122" s="1" t="str">
        <f>VLOOKUP(Tabela1[[#This Row],[Cliente]],'BASE DE CLIENTES'!A:C,3,0)</f>
        <v>GO</v>
      </c>
      <c r="E6122" s="1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3">
        <f>Tabela1[[#This Row],[MARGEM BRUTA]]/Tabela1[[#This Row],[Valor total]]</f>
        <v>0.36142956959195088</v>
      </c>
      <c r="K6122" s="1" t="str">
        <f>VLOOKUP(Tabela1[[#This Row],[Cliente]],'BASE DE CLIENTES'!A:D,4,0)</f>
        <v>EMPRESA COM MAQUINA</v>
      </c>
      <c r="L6122" s="1" t="str">
        <f>VLOOKUP(Tabela1[[#This Row],[Cliente]],'BASE DE CLIENTES'!A:E,5,0)</f>
        <v>Luziânia</v>
      </c>
    </row>
    <row r="6123" spans="2:12" x14ac:dyDescent="0.3">
      <c r="B6123" t="s">
        <v>1141</v>
      </c>
      <c r="C6123" s="1" t="str">
        <f>VLOOKUP(Tabela1[[#This Row],[Cliente]],'BASE DE CLIENTES'!A:E,2,0)</f>
        <v>Aparecida de Goiânia</v>
      </c>
      <c r="D6123" s="1" t="str">
        <f>VLOOKUP(Tabela1[[#This Row],[Cliente]],'BASE DE CLIENTES'!A:C,3,0)</f>
        <v>GO</v>
      </c>
      <c r="E6123" s="1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3">
        <f>Tabela1[[#This Row],[MARGEM BRUTA]]/Tabela1[[#This Row],[Valor total]]</f>
        <v>0.40898617511520735</v>
      </c>
      <c r="K6123" s="1" t="str">
        <f>VLOOKUP(Tabela1[[#This Row],[Cliente]],'BASE DE CLIENTES'!A:D,4,0)</f>
        <v>CLIENTE NOVO S/ IDENT.</v>
      </c>
      <c r="L6123" s="1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1" t="str">
        <f>VLOOKUP(Tabela1[[#This Row],[Cliente]],'BASE DE CLIENTES'!A:E,2,0)</f>
        <v>Brasília</v>
      </c>
      <c r="D6124" s="1" t="str">
        <f>VLOOKUP(Tabela1[[#This Row],[Cliente]],'BASE DE CLIENTES'!A:C,3,0)</f>
        <v>DF</v>
      </c>
      <c r="E6124" s="1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3">
        <f>Tabela1[[#This Row],[MARGEM BRUTA]]/Tabela1[[#This Row],[Valor total]]</f>
        <v>2.4799999999999992E-2</v>
      </c>
      <c r="K6124" s="1" t="str">
        <f>VLOOKUP(Tabela1[[#This Row],[Cliente]],'BASE DE CLIENTES'!A:D,4,0)</f>
        <v>EMPRESA SEM MAQUINA</v>
      </c>
      <c r="L6124" s="1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1" t="str">
        <f>VLOOKUP(Tabela1[[#This Row],[Cliente]],'BASE DE CLIENTES'!A:E,2,0)</f>
        <v>Brasília</v>
      </c>
      <c r="D6125" s="1" t="str">
        <f>VLOOKUP(Tabela1[[#This Row],[Cliente]],'BASE DE CLIENTES'!A:C,3,0)</f>
        <v>DF</v>
      </c>
      <c r="E6125" s="1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3">
        <f>Tabela1[[#This Row],[MARGEM BRUTA]]/Tabela1[[#This Row],[Valor total]]</f>
        <v>0.30909090909090908</v>
      </c>
      <c r="K6125" s="1" t="str">
        <f>VLOOKUP(Tabela1[[#This Row],[Cliente]],'BASE DE CLIENTES'!A:D,4,0)</f>
        <v>EMPRESA SEM MAQUINA</v>
      </c>
      <c r="L6125" s="1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1" t="str">
        <f>VLOOKUP(Tabela1[[#This Row],[Cliente]],'BASE DE CLIENTES'!A:E,2,0)</f>
        <v>Brasília</v>
      </c>
      <c r="D6126" s="1" t="str">
        <f>VLOOKUP(Tabela1[[#This Row],[Cliente]],'BASE DE CLIENTES'!A:C,3,0)</f>
        <v>DF</v>
      </c>
      <c r="E6126" s="1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3">
        <f>Tabela1[[#This Row],[MARGEM BRUTA]]/Tabela1[[#This Row],[Valor total]]</f>
        <v>0.30286153846153846</v>
      </c>
      <c r="K6126" s="1" t="str">
        <f>VLOOKUP(Tabela1[[#This Row],[Cliente]],'BASE DE CLIENTES'!A:D,4,0)</f>
        <v>EMPRESA COM MAQUINA</v>
      </c>
      <c r="L6126" s="1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1" t="str">
        <f>VLOOKUP(Tabela1[[#This Row],[Cliente]],'BASE DE CLIENTES'!A:E,2,0)</f>
        <v>Ananindeua</v>
      </c>
      <c r="D6127" s="1" t="str">
        <f>VLOOKUP(Tabela1[[#This Row],[Cliente]],'BASE DE CLIENTES'!A:C,3,0)</f>
        <v>PA</v>
      </c>
      <c r="E6127" s="1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3">
        <f>Tabela1[[#This Row],[MARGEM BRUTA]]/Tabela1[[#This Row],[Valor total]]</f>
        <v>0.33806163021868785</v>
      </c>
      <c r="K6127" s="1" t="str">
        <f>VLOOKUP(Tabela1[[#This Row],[Cliente]],'BASE DE CLIENTES'!A:D,4,0)</f>
        <v>OUTROS RAMOS</v>
      </c>
      <c r="L6127" s="1" t="str">
        <f>VLOOKUP(Tabela1[[#This Row],[Cliente]],'BASE DE CLIENTES'!A:E,5,0)</f>
        <v>Ananindeua</v>
      </c>
    </row>
    <row r="6128" spans="2:12" x14ac:dyDescent="0.3">
      <c r="B6128" t="s">
        <v>76</v>
      </c>
      <c r="C6128" s="1" t="str">
        <f>VLOOKUP(Tabela1[[#This Row],[Cliente]],'BASE DE CLIENTES'!A:E,2,0)</f>
        <v>Brasília</v>
      </c>
      <c r="D6128" s="1" t="str">
        <f>VLOOKUP(Tabela1[[#This Row],[Cliente]],'BASE DE CLIENTES'!A:C,3,0)</f>
        <v>DF</v>
      </c>
      <c r="E6128" s="1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3">
        <f>Tabela1[[#This Row],[MARGEM BRUTA]]/Tabela1[[#This Row],[Valor total]]</f>
        <v>0.25</v>
      </c>
      <c r="K6128" s="1" t="str">
        <f>VLOOKUP(Tabela1[[#This Row],[Cliente]],'BASE DE CLIENTES'!A:D,4,0)</f>
        <v>EMPRESA COM MAQUINA</v>
      </c>
      <c r="L6128" s="1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1" t="str">
        <f>VLOOKUP(Tabela1[[#This Row],[Cliente]],'BASE DE CLIENTES'!A:E,2,0)</f>
        <v>MERCADO LIVRE</v>
      </c>
      <c r="D6129" s="1" t="str">
        <f>VLOOKUP(Tabela1[[#This Row],[Cliente]],'BASE DE CLIENTES'!A:C,3,0)</f>
        <v>MERCADO LIVRE</v>
      </c>
      <c r="E6129" s="1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3">
        <f>Tabela1[[#This Row],[MARGEM BRUTA]]/Tabela1[[#This Row],[Valor total]]</f>
        <v>1</v>
      </c>
      <c r="K6129" s="1" t="str">
        <f>VLOOKUP(Tabela1[[#This Row],[Cliente]],'BASE DE CLIENTES'!A:D,4,0)</f>
        <v>OUTROS RAMOS</v>
      </c>
      <c r="L6129" s="1" t="str">
        <f>VLOOKUP(Tabela1[[#This Row],[Cliente]],'BASE DE CLIENTES'!A:E,5,0)</f>
        <v>MERCADO LIVRE</v>
      </c>
    </row>
    <row r="6130" spans="2:12" x14ac:dyDescent="0.3">
      <c r="B6130" t="s">
        <v>199</v>
      </c>
      <c r="C6130" s="1" t="str">
        <f>VLOOKUP(Tabela1[[#This Row],[Cliente]],'BASE DE CLIENTES'!A:E,2,0)</f>
        <v>Goiânia</v>
      </c>
      <c r="D6130" s="1" t="str">
        <f>VLOOKUP(Tabela1[[#This Row],[Cliente]],'BASE DE CLIENTES'!A:C,3,0)</f>
        <v>GO</v>
      </c>
      <c r="E6130" s="1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3">
        <f>Tabela1[[#This Row],[MARGEM BRUTA]]/Tabela1[[#This Row],[Valor total]]</f>
        <v>0.34852705882352936</v>
      </c>
      <c r="K6130" s="1" t="str">
        <f>VLOOKUP(Tabela1[[#This Row],[Cliente]],'BASE DE CLIENTES'!A:D,4,0)</f>
        <v>EMPRESA COM MAQUINA</v>
      </c>
      <c r="L6130" s="1" t="str">
        <f>VLOOKUP(Tabela1[[#This Row],[Cliente]],'BASE DE CLIENTES'!A:E,5,0)</f>
        <v>Goiânia</v>
      </c>
    </row>
    <row r="6131" spans="2:12" x14ac:dyDescent="0.3">
      <c r="B6131" t="s">
        <v>1304</v>
      </c>
      <c r="C6131" s="1" t="str">
        <f>VLOOKUP(Tabela1[[#This Row],[Cliente]],'BASE DE CLIENTES'!A:E,2,0)</f>
        <v>Uberlândia</v>
      </c>
      <c r="D6131" s="1" t="str">
        <f>VLOOKUP(Tabela1[[#This Row],[Cliente]],'BASE DE CLIENTES'!A:C,3,0)</f>
        <v>MG</v>
      </c>
      <c r="E6131" s="1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3">
        <f>Tabela1[[#This Row],[MARGEM BRUTA]]/Tabela1[[#This Row],[Valor total]]</f>
        <v>0.27891520467836256</v>
      </c>
      <c r="K6131" s="1" t="str">
        <f>VLOOKUP(Tabela1[[#This Row],[Cliente]],'BASE DE CLIENTES'!A:D,4,0)</f>
        <v>CLIENTE NOVO S/ IDENT.</v>
      </c>
      <c r="L6131" s="1" t="str">
        <f>VLOOKUP(Tabela1[[#This Row],[Cliente]],'BASE DE CLIENTES'!A:E,5,0)</f>
        <v>Uberlândia</v>
      </c>
    </row>
    <row r="6132" spans="2:12" x14ac:dyDescent="0.3">
      <c r="B6132" t="s">
        <v>1223</v>
      </c>
      <c r="C6132" s="1" t="str">
        <f>VLOOKUP(Tabela1[[#This Row],[Cliente]],'BASE DE CLIENTES'!A:E,2,0)</f>
        <v>MERCADO LIVRE</v>
      </c>
      <c r="D6132" s="1" t="str">
        <f>VLOOKUP(Tabela1[[#This Row],[Cliente]],'BASE DE CLIENTES'!A:C,3,0)</f>
        <v>MERCADO LIVRE</v>
      </c>
      <c r="E6132" s="1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3">
        <f>Tabela1[[#This Row],[MARGEM BRUTA]]/Tabela1[[#This Row],[Valor total]]</f>
        <v>0.71145860035888231</v>
      </c>
      <c r="K6132" s="1" t="str">
        <f>VLOOKUP(Tabela1[[#This Row],[Cliente]],'BASE DE CLIENTES'!A:D,4,0)</f>
        <v>OUTROS RAMOS</v>
      </c>
      <c r="L6132" s="1" t="str">
        <f>VLOOKUP(Tabela1[[#This Row],[Cliente]],'BASE DE CLIENTES'!A:E,5,0)</f>
        <v>MERCADO LIVRE</v>
      </c>
    </row>
    <row r="6133" spans="2:12" x14ac:dyDescent="0.3">
      <c r="B6133" t="s">
        <v>27</v>
      </c>
      <c r="C6133" s="1" t="str">
        <f>VLOOKUP(Tabela1[[#This Row],[Cliente]],'BASE DE CLIENTES'!A:E,2,0)</f>
        <v>Brasília</v>
      </c>
      <c r="D6133" s="1" t="str">
        <f>VLOOKUP(Tabela1[[#This Row],[Cliente]],'BASE DE CLIENTES'!A:C,3,0)</f>
        <v>DF</v>
      </c>
      <c r="E6133" s="1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3">
        <f>Tabela1[[#This Row],[MARGEM BRUTA]]/Tabela1[[#This Row],[Valor total]]</f>
        <v>0.38211382113821141</v>
      </c>
      <c r="K6133" s="1" t="str">
        <f>VLOOKUP(Tabela1[[#This Row],[Cliente]],'BASE DE CLIENTES'!A:D,4,0)</f>
        <v>EMPRESA SEM MAQUINA</v>
      </c>
      <c r="L6133" s="1" t="str">
        <f>VLOOKUP(Tabela1[[#This Row],[Cliente]],'BASE DE CLIENTES'!A:E,5,0)</f>
        <v>RECANTO DAS EMAS</v>
      </c>
    </row>
    <row r="6134" spans="2:12" x14ac:dyDescent="0.3">
      <c r="B6134" t="s">
        <v>183</v>
      </c>
      <c r="C6134" s="1" t="str">
        <f>VLOOKUP(Tabela1[[#This Row],[Cliente]],'BASE DE CLIENTES'!A:E,2,0)</f>
        <v>Caldas Novas</v>
      </c>
      <c r="D6134" s="1" t="str">
        <f>VLOOKUP(Tabela1[[#This Row],[Cliente]],'BASE DE CLIENTES'!A:C,3,0)</f>
        <v>GO</v>
      </c>
      <c r="E6134" s="1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3">
        <f>Tabela1[[#This Row],[MARGEM BRUTA]]/Tabela1[[#This Row],[Valor total]]</f>
        <v>0.66222222222222227</v>
      </c>
      <c r="K6134" s="1" t="str">
        <f>VLOOKUP(Tabela1[[#This Row],[Cliente]],'BASE DE CLIENTES'!A:D,4,0)</f>
        <v>EMPRESA COM MAQUINA</v>
      </c>
      <c r="L6134" s="1" t="str">
        <f>VLOOKUP(Tabela1[[#This Row],[Cliente]],'BASE DE CLIENTES'!A:E,5,0)</f>
        <v>Caldas Novas</v>
      </c>
    </row>
    <row r="6135" spans="2:12" x14ac:dyDescent="0.3">
      <c r="B6135" t="s">
        <v>117</v>
      </c>
      <c r="C6135" s="1" t="str">
        <f>VLOOKUP(Tabela1[[#This Row],[Cliente]],'BASE DE CLIENTES'!A:E,2,0)</f>
        <v>Brasília</v>
      </c>
      <c r="D6135" s="1" t="str">
        <f>VLOOKUP(Tabela1[[#This Row],[Cliente]],'BASE DE CLIENTES'!A:C,3,0)</f>
        <v>DF</v>
      </c>
      <c r="E6135" s="1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3">
        <f>Tabela1[[#This Row],[MARGEM BRUTA]]/Tabela1[[#This Row],[Valor total]]</f>
        <v>0.32222222222222224</v>
      </c>
      <c r="K6135" s="1" t="str">
        <f>VLOOKUP(Tabela1[[#This Row],[Cliente]],'BASE DE CLIENTES'!A:D,4,0)</f>
        <v>EMPRESA COM MAQUINA</v>
      </c>
      <c r="L6135" s="1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1" t="str">
        <f>VLOOKUP(Tabela1[[#This Row],[Cliente]],'BASE DE CLIENTES'!A:E,2,0)</f>
        <v>MERCADO LIVRE</v>
      </c>
      <c r="D6136" s="1" t="str">
        <f>VLOOKUP(Tabela1[[#This Row],[Cliente]],'BASE DE CLIENTES'!A:C,3,0)</f>
        <v>MERCADO LIVRE</v>
      </c>
      <c r="E6136" s="1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3">
        <f>Tabela1[[#This Row],[MARGEM BRUTA]]/Tabela1[[#This Row],[Valor total]]</f>
        <v>1</v>
      </c>
      <c r="K6136" s="1" t="str">
        <f>VLOOKUP(Tabela1[[#This Row],[Cliente]],'BASE DE CLIENTES'!A:D,4,0)</f>
        <v>OUTROS RAMOS</v>
      </c>
      <c r="L6136" s="1" t="str">
        <f>VLOOKUP(Tabela1[[#This Row],[Cliente]],'BASE DE CLIENTES'!A:E,5,0)</f>
        <v>MERCADO LIVRE</v>
      </c>
    </row>
    <row r="6137" spans="2:12" x14ac:dyDescent="0.3">
      <c r="B6137" t="s">
        <v>1223</v>
      </c>
      <c r="C6137" s="1" t="str">
        <f>VLOOKUP(Tabela1[[#This Row],[Cliente]],'BASE DE CLIENTES'!A:E,2,0)</f>
        <v>MERCADO LIVRE</v>
      </c>
      <c r="D6137" s="1" t="str">
        <f>VLOOKUP(Tabela1[[#This Row],[Cliente]],'BASE DE CLIENTES'!A:C,3,0)</f>
        <v>MERCADO LIVRE</v>
      </c>
      <c r="E6137" s="1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3">
        <f>Tabela1[[#This Row],[MARGEM BRUTA]]/Tabela1[[#This Row],[Valor total]]</f>
        <v>0.61674230963187093</v>
      </c>
      <c r="K6137" s="1" t="str">
        <f>VLOOKUP(Tabela1[[#This Row],[Cliente]],'BASE DE CLIENTES'!A:D,4,0)</f>
        <v>OUTROS RAMOS</v>
      </c>
      <c r="L6137" s="1" t="str">
        <f>VLOOKUP(Tabela1[[#This Row],[Cliente]],'BASE DE CLIENTES'!A:E,5,0)</f>
        <v>MERCADO LIVRE</v>
      </c>
    </row>
    <row r="6138" spans="2:12" x14ac:dyDescent="0.3">
      <c r="B6138" t="s">
        <v>117</v>
      </c>
      <c r="C6138" s="1" t="str">
        <f>VLOOKUP(Tabela1[[#This Row],[Cliente]],'BASE DE CLIENTES'!A:E,2,0)</f>
        <v>Brasília</v>
      </c>
      <c r="D6138" s="1" t="str">
        <f>VLOOKUP(Tabela1[[#This Row],[Cliente]],'BASE DE CLIENTES'!A:C,3,0)</f>
        <v>DF</v>
      </c>
      <c r="E6138" s="1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3">
        <f>Tabela1[[#This Row],[MARGEM BRUTA]]/Tabela1[[#This Row],[Valor total]]</f>
        <v>0.48377011494252875</v>
      </c>
      <c r="K6138" s="1" t="str">
        <f>VLOOKUP(Tabela1[[#This Row],[Cliente]],'BASE DE CLIENTES'!A:D,4,0)</f>
        <v>EMPRESA COM MAQUINA</v>
      </c>
      <c r="L6138" s="1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1" t="str">
        <f>VLOOKUP(Tabela1[[#This Row],[Cliente]],'BASE DE CLIENTES'!A:E,2,0)</f>
        <v>Brasília</v>
      </c>
      <c r="D6139" s="1" t="str">
        <f>VLOOKUP(Tabela1[[#This Row],[Cliente]],'BASE DE CLIENTES'!A:C,3,0)</f>
        <v>DF</v>
      </c>
      <c r="E6139" s="1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3">
        <f>Tabela1[[#This Row],[MARGEM BRUTA]]/Tabela1[[#This Row],[Valor total]]</f>
        <v>0.39090909090909093</v>
      </c>
      <c r="K6139" s="1" t="str">
        <f>VLOOKUP(Tabela1[[#This Row],[Cliente]],'BASE DE CLIENTES'!A:D,4,0)</f>
        <v>EMPRESA SEM MAQUINA</v>
      </c>
      <c r="L6139" s="1" t="str">
        <f>VLOOKUP(Tabela1[[#This Row],[Cliente]],'BASE DE CLIENTES'!A:E,5,0)</f>
        <v>SAMAMBAIA</v>
      </c>
    </row>
    <row r="6140" spans="2:12" x14ac:dyDescent="0.3">
      <c r="B6140" t="s">
        <v>78</v>
      </c>
      <c r="C6140" s="1" t="str">
        <f>VLOOKUP(Tabela1[[#This Row],[Cliente]],'BASE DE CLIENTES'!A:E,2,0)</f>
        <v>Brasília</v>
      </c>
      <c r="D6140" s="1" t="str">
        <f>VLOOKUP(Tabela1[[#This Row],[Cliente]],'BASE DE CLIENTES'!A:C,3,0)</f>
        <v>DF</v>
      </c>
      <c r="E6140" s="1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3">
        <f>Tabela1[[#This Row],[MARGEM BRUTA]]/Tabela1[[#This Row],[Valor total]]</f>
        <v>0.36666666666666664</v>
      </c>
      <c r="K6140" s="1" t="str">
        <f>VLOOKUP(Tabela1[[#This Row],[Cliente]],'BASE DE CLIENTES'!A:D,4,0)</f>
        <v>SERRALHEIRO</v>
      </c>
      <c r="L6140" s="1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1" t="str">
        <f>VLOOKUP(Tabela1[[#This Row],[Cliente]],'BASE DE CLIENTES'!A:E,2,0)</f>
        <v>Brasília</v>
      </c>
      <c r="D6141" s="1" t="str">
        <f>VLOOKUP(Tabela1[[#This Row],[Cliente]],'BASE DE CLIENTES'!A:C,3,0)</f>
        <v>DF</v>
      </c>
      <c r="E6141" s="1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3">
        <f>Tabela1[[#This Row],[MARGEM BRUTA]]/Tabela1[[#This Row],[Valor total]]</f>
        <v>0.5926315789473684</v>
      </c>
      <c r="K6141" s="1" t="str">
        <f>VLOOKUP(Tabela1[[#This Row],[Cliente]],'BASE DE CLIENTES'!A:D,4,0)</f>
        <v>SERRALHEIRO</v>
      </c>
      <c r="L6141" s="1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1" t="str">
        <f>VLOOKUP(Tabela1[[#This Row],[Cliente]],'BASE DE CLIENTES'!A:E,2,0)</f>
        <v>Valparaíso de Goiás</v>
      </c>
      <c r="D6142" s="1" t="str">
        <f>VLOOKUP(Tabela1[[#This Row],[Cliente]],'BASE DE CLIENTES'!A:C,3,0)</f>
        <v>GO</v>
      </c>
      <c r="E6142" s="1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3">
        <f>Tabela1[[#This Row],[MARGEM BRUTA]]/Tabela1[[#This Row],[Valor total]]</f>
        <v>0.36666666666666664</v>
      </c>
      <c r="K6142" s="1" t="str">
        <f>VLOOKUP(Tabela1[[#This Row],[Cliente]],'BASE DE CLIENTES'!A:D,4,0)</f>
        <v>SERRALHEIRO</v>
      </c>
      <c r="L6142" s="1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1" t="str">
        <f>VLOOKUP(Tabela1[[#This Row],[Cliente]],'BASE DE CLIENTES'!A:E,2,0)</f>
        <v>Águas Lindas de Goiás</v>
      </c>
      <c r="D6143" s="1" t="str">
        <f>VLOOKUP(Tabela1[[#This Row],[Cliente]],'BASE DE CLIENTES'!A:C,3,0)</f>
        <v>GO</v>
      </c>
      <c r="E6143" s="1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3">
        <f>Tabela1[[#This Row],[MARGEM BRUTA]]/Tabela1[[#This Row],[Valor total]]</f>
        <v>0.74666666666666659</v>
      </c>
      <c r="K6143" s="1" t="str">
        <f>VLOOKUP(Tabela1[[#This Row],[Cliente]],'BASE DE CLIENTES'!A:D,4,0)</f>
        <v>SERRALHEIRO</v>
      </c>
      <c r="L6143" s="1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1" t="str">
        <f>VLOOKUP(Tabela1[[#This Row],[Cliente]],'BASE DE CLIENTES'!A:E,2,0)</f>
        <v>Goianira</v>
      </c>
      <c r="D6144" s="1" t="str">
        <f>VLOOKUP(Tabela1[[#This Row],[Cliente]],'BASE DE CLIENTES'!A:C,3,0)</f>
        <v>GO</v>
      </c>
      <c r="E6144" s="1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3">
        <f>Tabela1[[#This Row],[MARGEM BRUTA]]/Tabela1[[#This Row],[Valor total]]</f>
        <v>0.42718950749464668</v>
      </c>
      <c r="K6144" s="1" t="str">
        <f>VLOOKUP(Tabela1[[#This Row],[Cliente]],'BASE DE CLIENTES'!A:D,4,0)</f>
        <v>EMPRESA SEM MAQUINA</v>
      </c>
      <c r="L6144" s="1" t="str">
        <f>VLOOKUP(Tabela1[[#This Row],[Cliente]],'BASE DE CLIENTES'!A:E,5,0)</f>
        <v>Goianira</v>
      </c>
    </row>
    <row r="6145" spans="2:12" x14ac:dyDescent="0.3">
      <c r="B6145" t="s">
        <v>97</v>
      </c>
      <c r="C6145" s="1" t="str">
        <f>VLOOKUP(Tabela1[[#This Row],[Cliente]],'BASE DE CLIENTES'!A:E,2,0)</f>
        <v>Brasília</v>
      </c>
      <c r="D6145" s="1" t="str">
        <f>VLOOKUP(Tabela1[[#This Row],[Cliente]],'BASE DE CLIENTES'!A:C,3,0)</f>
        <v>DF</v>
      </c>
      <c r="E6145" s="1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3">
        <f>Tabela1[[#This Row],[MARGEM BRUTA]]/Tabela1[[#This Row],[Valor total]]</f>
        <v>0.57916666666666672</v>
      </c>
      <c r="K6145" s="1" t="str">
        <f>VLOOKUP(Tabela1[[#This Row],[Cliente]],'BASE DE CLIENTES'!A:D,4,0)</f>
        <v>SERRALHEIRO</v>
      </c>
      <c r="L6145" s="1" t="str">
        <f>VLOOKUP(Tabela1[[#This Row],[Cliente]],'BASE DE CLIENTES'!A:E,5,0)</f>
        <v>CEILANDIA NORTE</v>
      </c>
    </row>
    <row r="6146" spans="2:12" x14ac:dyDescent="0.3">
      <c r="B6146" t="s">
        <v>1223</v>
      </c>
      <c r="C6146" s="1" t="str">
        <f>VLOOKUP(Tabela1[[#This Row],[Cliente]],'BASE DE CLIENTES'!A:E,2,0)</f>
        <v>MERCADO LIVRE</v>
      </c>
      <c r="D6146" s="1" t="str">
        <f>VLOOKUP(Tabela1[[#This Row],[Cliente]],'BASE DE CLIENTES'!A:C,3,0)</f>
        <v>MERCADO LIVRE</v>
      </c>
      <c r="E6146" s="1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3">
        <f>Tabela1[[#This Row],[MARGEM BRUTA]]/Tabela1[[#This Row],[Valor total]]</f>
        <v>0.71621621621621623</v>
      </c>
      <c r="K6146" s="1" t="str">
        <f>VLOOKUP(Tabela1[[#This Row],[Cliente]],'BASE DE CLIENTES'!A:D,4,0)</f>
        <v>OUTROS RAMOS</v>
      </c>
      <c r="L6146" s="1" t="str">
        <f>VLOOKUP(Tabela1[[#This Row],[Cliente]],'BASE DE CLIENTES'!A:E,5,0)</f>
        <v>MERCADO LIVRE</v>
      </c>
    </row>
    <row r="6147" spans="2:12" x14ac:dyDescent="0.3">
      <c r="B6147" t="s">
        <v>88</v>
      </c>
      <c r="C6147" s="1" t="str">
        <f>VLOOKUP(Tabela1[[#This Row],[Cliente]],'BASE DE CLIENTES'!A:E,2,0)</f>
        <v>Brasília</v>
      </c>
      <c r="D6147" s="1" t="str">
        <f>VLOOKUP(Tabela1[[#This Row],[Cliente]],'BASE DE CLIENTES'!A:C,3,0)</f>
        <v>DF</v>
      </c>
      <c r="E6147" s="1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3">
        <f>Tabela1[[#This Row],[MARGEM BRUTA]]/Tabela1[[#This Row],[Valor total]]</f>
        <v>0.79403794037940378</v>
      </c>
      <c r="K6147" s="1" t="str">
        <f>VLOOKUP(Tabela1[[#This Row],[Cliente]],'BASE DE CLIENTES'!A:D,4,0)</f>
        <v>SERRALHEIRO</v>
      </c>
      <c r="L6147" s="1" t="str">
        <f>VLOOKUP(Tabela1[[#This Row],[Cliente]],'BASE DE CLIENTES'!A:E,5,0)</f>
        <v>RECANTO DAS EMAS</v>
      </c>
    </row>
    <row r="6148" spans="2:12" x14ac:dyDescent="0.3">
      <c r="B6148" t="s">
        <v>316</v>
      </c>
      <c r="C6148" s="1" t="str">
        <f>VLOOKUP(Tabela1[[#This Row],[Cliente]],'BASE DE CLIENTES'!A:E,2,0)</f>
        <v>Valparaíso de Goiás</v>
      </c>
      <c r="D6148" s="1" t="str">
        <f>VLOOKUP(Tabela1[[#This Row],[Cliente]],'BASE DE CLIENTES'!A:C,3,0)</f>
        <v>GO</v>
      </c>
      <c r="E6148" s="1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3">
        <f>Tabela1[[#This Row],[MARGEM BRUTA]]/Tabela1[[#This Row],[Valor total]]</f>
        <v>0.33866666666666667</v>
      </c>
      <c r="K6148" s="1" t="str">
        <f>VLOOKUP(Tabela1[[#This Row],[Cliente]],'BASE DE CLIENTES'!A:D,4,0)</f>
        <v>SERRALHEIRO</v>
      </c>
      <c r="L6148" s="1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1" t="str">
        <f>VLOOKUP(Tabela1[[#This Row],[Cliente]],'BASE DE CLIENTES'!A:E,2,0)</f>
        <v>Brasília</v>
      </c>
      <c r="D6149" s="1" t="str">
        <f>VLOOKUP(Tabela1[[#This Row],[Cliente]],'BASE DE CLIENTES'!A:C,3,0)</f>
        <v>DF</v>
      </c>
      <c r="E6149" s="1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3">
        <f>Tabela1[[#This Row],[MARGEM BRUTA]]/Tabela1[[#This Row],[Valor total]]</f>
        <v>0.25147101449275361</v>
      </c>
      <c r="K6149" s="1" t="str">
        <f>VLOOKUP(Tabela1[[#This Row],[Cliente]],'BASE DE CLIENTES'!A:D,4,0)</f>
        <v>EMPRESA SEM MAQUINA</v>
      </c>
      <c r="L6149" s="1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1" t="str">
        <f>VLOOKUP(Tabela1[[#This Row],[Cliente]],'BASE DE CLIENTES'!A:E,2,0)</f>
        <v>MERCADO LIVRE</v>
      </c>
      <c r="D6150" s="1" t="str">
        <f>VLOOKUP(Tabela1[[#This Row],[Cliente]],'BASE DE CLIENTES'!A:C,3,0)</f>
        <v>MERCADO LIVRE</v>
      </c>
      <c r="E6150" s="1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3">
        <f>Tabela1[[#This Row],[MARGEM BRUTA]]/Tabela1[[#This Row],[Valor total]]</f>
        <v>0.8839871775301481</v>
      </c>
      <c r="K6150" s="1" t="str">
        <f>VLOOKUP(Tabela1[[#This Row],[Cliente]],'BASE DE CLIENTES'!A:D,4,0)</f>
        <v>OUTROS RAMOS</v>
      </c>
      <c r="L6150" s="1" t="str">
        <f>VLOOKUP(Tabela1[[#This Row],[Cliente]],'BASE DE CLIENTES'!A:E,5,0)</f>
        <v>MERCADO LIVRE</v>
      </c>
    </row>
    <row r="6151" spans="2:12" x14ac:dyDescent="0.3">
      <c r="B6151" t="s">
        <v>1223</v>
      </c>
      <c r="C6151" s="1" t="str">
        <f>VLOOKUP(Tabela1[[#This Row],[Cliente]],'BASE DE CLIENTES'!A:E,2,0)</f>
        <v>MERCADO LIVRE</v>
      </c>
      <c r="D6151" s="1" t="str">
        <f>VLOOKUP(Tabela1[[#This Row],[Cliente]],'BASE DE CLIENTES'!A:C,3,0)</f>
        <v>MERCADO LIVRE</v>
      </c>
      <c r="E6151" s="1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3">
        <f>Tabela1[[#This Row],[MARGEM BRUTA]]/Tabela1[[#This Row],[Valor total]]</f>
        <v>1</v>
      </c>
      <c r="K6151" s="1" t="str">
        <f>VLOOKUP(Tabela1[[#This Row],[Cliente]],'BASE DE CLIENTES'!A:D,4,0)</f>
        <v>OUTROS RAMOS</v>
      </c>
      <c r="L6151" s="1" t="str">
        <f>VLOOKUP(Tabela1[[#This Row],[Cliente]],'BASE DE CLIENTES'!A:E,5,0)</f>
        <v>MERCADO LIVRE</v>
      </c>
    </row>
    <row r="6152" spans="2:12" x14ac:dyDescent="0.3">
      <c r="B6152" t="s">
        <v>1169</v>
      </c>
      <c r="C6152" s="1" t="str">
        <f>VLOOKUP(Tabela1[[#This Row],[Cliente]],'BASE DE CLIENTES'!A:E,2,0)</f>
        <v>Brasília</v>
      </c>
      <c r="D6152" s="1" t="str">
        <f>VLOOKUP(Tabela1[[#This Row],[Cliente]],'BASE DE CLIENTES'!A:C,3,0)</f>
        <v>DF</v>
      </c>
      <c r="E6152" s="1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3">
        <f>Tabela1[[#This Row],[MARGEM BRUTA]]/Tabela1[[#This Row],[Valor total]]</f>
        <v>0.43529411764705883</v>
      </c>
      <c r="K6152" s="1" t="str">
        <f>VLOOKUP(Tabela1[[#This Row],[Cliente]],'BASE DE CLIENTES'!A:D,4,0)</f>
        <v>CLIENTE NOVO S/ IDENT.</v>
      </c>
      <c r="L6152" s="1" t="str">
        <f>VLOOKUP(Tabela1[[#This Row],[Cliente]],'BASE DE CLIENTES'!A:E,5,0)</f>
        <v>26 DE SETEMBRO</v>
      </c>
    </row>
    <row r="6153" spans="2:12" x14ac:dyDescent="0.3">
      <c r="B6153" t="s">
        <v>38</v>
      </c>
      <c r="C6153" s="1" t="str">
        <f>VLOOKUP(Tabela1[[#This Row],[Cliente]],'BASE DE CLIENTES'!A:E,2,0)</f>
        <v>Brasília</v>
      </c>
      <c r="D6153" s="1" t="str">
        <f>VLOOKUP(Tabela1[[#This Row],[Cliente]],'BASE DE CLIENTES'!A:C,3,0)</f>
        <v>DF</v>
      </c>
      <c r="E6153" s="1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3">
        <f>Tabela1[[#This Row],[MARGEM BRUTA]]/Tabela1[[#This Row],[Valor total]]</f>
        <v>0.38396274343776465</v>
      </c>
      <c r="K6153" s="1" t="str">
        <f>VLOOKUP(Tabela1[[#This Row],[Cliente]],'BASE DE CLIENTES'!A:D,4,0)</f>
        <v>EMPRESA SEM MAQUINA</v>
      </c>
      <c r="L6153" s="1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1" t="str">
        <f>VLOOKUP(Tabela1[[#This Row],[Cliente]],'BASE DE CLIENTES'!A:E,2,0)</f>
        <v>Brasília</v>
      </c>
      <c r="D6154" s="1" t="str">
        <f>VLOOKUP(Tabela1[[#This Row],[Cliente]],'BASE DE CLIENTES'!A:C,3,0)</f>
        <v>DF</v>
      </c>
      <c r="E6154" s="1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3">
        <f>Tabela1[[#This Row],[MARGEM BRUTA]]/Tabela1[[#This Row],[Valor total]]</f>
        <v>0.33333333333333331</v>
      </c>
      <c r="K6154" s="1" t="str">
        <f>VLOOKUP(Tabela1[[#This Row],[Cliente]],'BASE DE CLIENTES'!A:D,4,0)</f>
        <v>EMPRESA COM MAQUINA</v>
      </c>
      <c r="L6154" s="1" t="str">
        <f>VLOOKUP(Tabela1[[#This Row],[Cliente]],'BASE DE CLIENTES'!A:E,5,0)</f>
        <v>RIACHO FUNDO II</v>
      </c>
    </row>
    <row r="6155" spans="2:12" x14ac:dyDescent="0.3">
      <c r="B6155" t="s">
        <v>19</v>
      </c>
      <c r="C6155" s="1" t="str">
        <f>VLOOKUP(Tabela1[[#This Row],[Cliente]],'BASE DE CLIENTES'!A:E,2,0)</f>
        <v>Águas Lindas de Goiás</v>
      </c>
      <c r="D6155" s="1" t="str">
        <f>VLOOKUP(Tabela1[[#This Row],[Cliente]],'BASE DE CLIENTES'!A:C,3,0)</f>
        <v>GO</v>
      </c>
      <c r="E6155" s="1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3">
        <f>Tabela1[[#This Row],[MARGEM BRUTA]]/Tabela1[[#This Row],[Valor total]]</f>
        <v>0.5</v>
      </c>
      <c r="K6155" s="1" t="str">
        <f>VLOOKUP(Tabela1[[#This Row],[Cliente]],'BASE DE CLIENTES'!A:D,4,0)</f>
        <v>SERRALHEIRO</v>
      </c>
      <c r="L6155" s="1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1" t="str">
        <f>VLOOKUP(Tabela1[[#This Row],[Cliente]],'BASE DE CLIENTES'!A:E,2,0)</f>
        <v>Águas Lindas de Goiás</v>
      </c>
      <c r="D6156" s="1" t="str">
        <f>VLOOKUP(Tabela1[[#This Row],[Cliente]],'BASE DE CLIENTES'!A:C,3,0)</f>
        <v>GO</v>
      </c>
      <c r="E6156" s="1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3">
        <f>Tabela1[[#This Row],[MARGEM BRUTA]]/Tabela1[[#This Row],[Valor total]]</f>
        <v>0.26748971193415638</v>
      </c>
      <c r="K6156" s="1" t="str">
        <f>VLOOKUP(Tabela1[[#This Row],[Cliente]],'BASE DE CLIENTES'!A:D,4,0)</f>
        <v>SERRALHEIRO</v>
      </c>
      <c r="L6156" s="1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1" t="str">
        <f>VLOOKUP(Tabela1[[#This Row],[Cliente]],'BASE DE CLIENTES'!A:E,2,0)</f>
        <v>Águas Lindas de Goiás</v>
      </c>
      <c r="D6157" s="1" t="str">
        <f>VLOOKUP(Tabela1[[#This Row],[Cliente]],'BASE DE CLIENTES'!A:C,3,0)</f>
        <v>GO</v>
      </c>
      <c r="E6157" s="1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3">
        <f>Tabela1[[#This Row],[MARGEM BRUTA]]/Tabela1[[#This Row],[Valor total]]</f>
        <v>0.7466666666666667</v>
      </c>
      <c r="K6157" s="1" t="str">
        <f>VLOOKUP(Tabela1[[#This Row],[Cliente]],'BASE DE CLIENTES'!A:D,4,0)</f>
        <v>SERRALHEIRO</v>
      </c>
      <c r="L6157" s="1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1" t="str">
        <f>VLOOKUP(Tabela1[[#This Row],[Cliente]],'BASE DE CLIENTES'!A:E,2,0)</f>
        <v>Brasília</v>
      </c>
      <c r="D6158" s="1" t="str">
        <f>VLOOKUP(Tabela1[[#This Row],[Cliente]],'BASE DE CLIENTES'!A:C,3,0)</f>
        <v>DF</v>
      </c>
      <c r="E6158" s="1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3">
        <f>Tabela1[[#This Row],[MARGEM BRUTA]]/Tabela1[[#This Row],[Valor total]]</f>
        <v>0.32222222222222219</v>
      </c>
      <c r="K6158" s="1" t="str">
        <f>VLOOKUP(Tabela1[[#This Row],[Cliente]],'BASE DE CLIENTES'!A:D,4,0)</f>
        <v>EMPRESA COM MAQUINA</v>
      </c>
      <c r="L6158" s="1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1" t="str">
        <f>VLOOKUP(Tabela1[[#This Row],[Cliente]],'BASE DE CLIENTES'!A:E,2,0)</f>
        <v>Brasília</v>
      </c>
      <c r="D6159" s="1" t="str">
        <f>VLOOKUP(Tabela1[[#This Row],[Cliente]],'BASE DE CLIENTES'!A:C,3,0)</f>
        <v>DF</v>
      </c>
      <c r="E6159" s="1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3">
        <f>Tabela1[[#This Row],[MARGEM BRUTA]]/Tabela1[[#This Row],[Valor total]]</f>
        <v>0.32620320855614976</v>
      </c>
      <c r="K6159" s="1" t="str">
        <f>VLOOKUP(Tabela1[[#This Row],[Cliente]],'BASE DE CLIENTES'!A:D,4,0)</f>
        <v>EMPRESA SEM MAQUINA</v>
      </c>
      <c r="L6159" s="1" t="str">
        <f>VLOOKUP(Tabela1[[#This Row],[Cliente]],'BASE DE CLIENTES'!A:E,5,0)</f>
        <v>JOKEY</v>
      </c>
    </row>
    <row r="6160" spans="2:12" x14ac:dyDescent="0.3">
      <c r="B6160" t="s">
        <v>1223</v>
      </c>
      <c r="C6160" s="1" t="str">
        <f>VLOOKUP(Tabela1[[#This Row],[Cliente]],'BASE DE CLIENTES'!A:E,2,0)</f>
        <v>MERCADO LIVRE</v>
      </c>
      <c r="D6160" s="1" t="str">
        <f>VLOOKUP(Tabela1[[#This Row],[Cliente]],'BASE DE CLIENTES'!A:C,3,0)</f>
        <v>MERCADO LIVRE</v>
      </c>
      <c r="E6160" s="1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3">
        <f>Tabela1[[#This Row],[MARGEM BRUTA]]/Tabela1[[#This Row],[Valor total]]</f>
        <v>0.85492949573492716</v>
      </c>
      <c r="K6160" s="1" t="str">
        <f>VLOOKUP(Tabela1[[#This Row],[Cliente]],'BASE DE CLIENTES'!A:D,4,0)</f>
        <v>OUTROS RAMOS</v>
      </c>
      <c r="L6160" s="1" t="str">
        <f>VLOOKUP(Tabela1[[#This Row],[Cliente]],'BASE DE CLIENTES'!A:E,5,0)</f>
        <v>MERCADO LIVRE</v>
      </c>
    </row>
    <row r="6161" spans="2:12" x14ac:dyDescent="0.3">
      <c r="B6161" t="s">
        <v>1223</v>
      </c>
      <c r="C6161" s="1" t="str">
        <f>VLOOKUP(Tabela1[[#This Row],[Cliente]],'BASE DE CLIENTES'!A:E,2,0)</f>
        <v>MERCADO LIVRE</v>
      </c>
      <c r="D6161" s="1" t="str">
        <f>VLOOKUP(Tabela1[[#This Row],[Cliente]],'BASE DE CLIENTES'!A:C,3,0)</f>
        <v>MERCADO LIVRE</v>
      </c>
      <c r="E6161" s="1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3">
        <f>Tabela1[[#This Row],[MARGEM BRUTA]]/Tabela1[[#This Row],[Valor total]]</f>
        <v>0.71621621621621623</v>
      </c>
      <c r="K6161" s="1" t="str">
        <f>VLOOKUP(Tabela1[[#This Row],[Cliente]],'BASE DE CLIENTES'!A:D,4,0)</f>
        <v>OUTROS RAMOS</v>
      </c>
      <c r="L6161" s="1" t="str">
        <f>VLOOKUP(Tabela1[[#This Row],[Cliente]],'BASE DE CLIENTES'!A:E,5,0)</f>
        <v>MERCADO LIVRE</v>
      </c>
    </row>
    <row r="6162" spans="2:12" x14ac:dyDescent="0.3">
      <c r="B6162" t="s">
        <v>1223</v>
      </c>
      <c r="C6162" s="1" t="str">
        <f>VLOOKUP(Tabela1[[#This Row],[Cliente]],'BASE DE CLIENTES'!A:E,2,0)</f>
        <v>MERCADO LIVRE</v>
      </c>
      <c r="D6162" s="1" t="str">
        <f>VLOOKUP(Tabela1[[#This Row],[Cliente]],'BASE DE CLIENTES'!A:C,3,0)</f>
        <v>MERCADO LIVRE</v>
      </c>
      <c r="E6162" s="1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3">
        <f>Tabela1[[#This Row],[MARGEM BRUTA]]/Tabela1[[#This Row],[Valor total]]</f>
        <v>1</v>
      </c>
      <c r="K6162" s="1" t="str">
        <f>VLOOKUP(Tabela1[[#This Row],[Cliente]],'BASE DE CLIENTES'!A:D,4,0)</f>
        <v>OUTROS RAMOS</v>
      </c>
      <c r="L6162" s="1" t="str">
        <f>VLOOKUP(Tabela1[[#This Row],[Cliente]],'BASE DE CLIENTES'!A:E,5,0)</f>
        <v>MERCADO LIVRE</v>
      </c>
    </row>
    <row r="6163" spans="2:12" x14ac:dyDescent="0.3">
      <c r="B6163" t="s">
        <v>1223</v>
      </c>
      <c r="C6163" s="1" t="str">
        <f>VLOOKUP(Tabela1[[#This Row],[Cliente]],'BASE DE CLIENTES'!A:E,2,0)</f>
        <v>MERCADO LIVRE</v>
      </c>
      <c r="D6163" s="1" t="str">
        <f>VLOOKUP(Tabela1[[#This Row],[Cliente]],'BASE DE CLIENTES'!A:C,3,0)</f>
        <v>MERCADO LIVRE</v>
      </c>
      <c r="E6163" s="1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3">
        <f>Tabela1[[#This Row],[MARGEM BRUTA]]/Tabela1[[#This Row],[Valor total]]</f>
        <v>0.68669511968825381</v>
      </c>
      <c r="K6163" s="1" t="str">
        <f>VLOOKUP(Tabela1[[#This Row],[Cliente]],'BASE DE CLIENTES'!A:D,4,0)</f>
        <v>OUTROS RAMOS</v>
      </c>
      <c r="L6163" s="1" t="str">
        <f>VLOOKUP(Tabela1[[#This Row],[Cliente]],'BASE DE CLIENTES'!A:E,5,0)</f>
        <v>MERCADO LIVRE</v>
      </c>
    </row>
    <row r="6164" spans="2:12" x14ac:dyDescent="0.3">
      <c r="B6164" t="s">
        <v>1223</v>
      </c>
      <c r="C6164" s="1" t="str">
        <f>VLOOKUP(Tabela1[[#This Row],[Cliente]],'BASE DE CLIENTES'!A:E,2,0)</f>
        <v>MERCADO LIVRE</v>
      </c>
      <c r="D6164" s="1" t="str">
        <f>VLOOKUP(Tabela1[[#This Row],[Cliente]],'BASE DE CLIENTES'!A:C,3,0)</f>
        <v>MERCADO LIVRE</v>
      </c>
      <c r="E6164" s="1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3">
        <f>Tabela1[[#This Row],[MARGEM BRUTA]]/Tabela1[[#This Row],[Valor total]]</f>
        <v>0.71621621621621623</v>
      </c>
      <c r="K6164" s="1" t="str">
        <f>VLOOKUP(Tabela1[[#This Row],[Cliente]],'BASE DE CLIENTES'!A:D,4,0)</f>
        <v>OUTROS RAMOS</v>
      </c>
      <c r="L6164" s="1" t="str">
        <f>VLOOKUP(Tabela1[[#This Row],[Cliente]],'BASE DE CLIENTES'!A:E,5,0)</f>
        <v>MERCADO LIVRE</v>
      </c>
    </row>
    <row r="6165" spans="2:12" x14ac:dyDescent="0.3">
      <c r="B6165" t="s">
        <v>1223</v>
      </c>
      <c r="C6165" s="1" t="str">
        <f>VLOOKUP(Tabela1[[#This Row],[Cliente]],'BASE DE CLIENTES'!A:E,2,0)</f>
        <v>MERCADO LIVRE</v>
      </c>
      <c r="D6165" s="1" t="str">
        <f>VLOOKUP(Tabela1[[#This Row],[Cliente]],'BASE DE CLIENTES'!A:C,3,0)</f>
        <v>MERCADO LIVRE</v>
      </c>
      <c r="E6165" s="1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3">
        <f>Tabela1[[#This Row],[MARGEM BRUTA]]/Tabela1[[#This Row],[Valor total]]</f>
        <v>0.71621621621621623</v>
      </c>
      <c r="K6165" s="1" t="str">
        <f>VLOOKUP(Tabela1[[#This Row],[Cliente]],'BASE DE CLIENTES'!A:D,4,0)</f>
        <v>OUTROS RAMOS</v>
      </c>
      <c r="L6165" s="1" t="str">
        <f>VLOOKUP(Tabela1[[#This Row],[Cliente]],'BASE DE CLIENTES'!A:E,5,0)</f>
        <v>MERCADO LIVRE</v>
      </c>
    </row>
    <row r="6166" spans="2:12" x14ac:dyDescent="0.3">
      <c r="B6166" t="s">
        <v>1223</v>
      </c>
      <c r="C6166" s="1" t="str">
        <f>VLOOKUP(Tabela1[[#This Row],[Cliente]],'BASE DE CLIENTES'!A:E,2,0)</f>
        <v>MERCADO LIVRE</v>
      </c>
      <c r="D6166" s="1" t="str">
        <f>VLOOKUP(Tabela1[[#This Row],[Cliente]],'BASE DE CLIENTES'!A:C,3,0)</f>
        <v>MERCADO LIVRE</v>
      </c>
      <c r="E6166" s="1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3">
        <f>Tabela1[[#This Row],[MARGEM BRUTA]]/Tabela1[[#This Row],[Valor total]]</f>
        <v>0.86488677511754852</v>
      </c>
      <c r="K6166" s="1" t="str">
        <f>VLOOKUP(Tabela1[[#This Row],[Cliente]],'BASE DE CLIENTES'!A:D,4,0)</f>
        <v>OUTROS RAMOS</v>
      </c>
      <c r="L6166" s="1" t="str">
        <f>VLOOKUP(Tabela1[[#This Row],[Cliente]],'BASE DE CLIENTES'!A:E,5,0)</f>
        <v>MERCADO LIVRE</v>
      </c>
    </row>
    <row r="6167" spans="2:12" x14ac:dyDescent="0.3">
      <c r="B6167" t="s">
        <v>23</v>
      </c>
      <c r="C6167" s="1" t="str">
        <f>VLOOKUP(Tabela1[[#This Row],[Cliente]],'BASE DE CLIENTES'!A:E,2,0)</f>
        <v>Brasília</v>
      </c>
      <c r="D6167" s="1" t="str">
        <f>VLOOKUP(Tabela1[[#This Row],[Cliente]],'BASE DE CLIENTES'!A:C,3,0)</f>
        <v>DF</v>
      </c>
      <c r="E6167" s="1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3">
        <f>Tabela1[[#This Row],[MARGEM BRUTA]]/Tabela1[[#This Row],[Valor total]]</f>
        <v>0.30909090909090908</v>
      </c>
      <c r="K6167" s="1" t="str">
        <f>VLOOKUP(Tabela1[[#This Row],[Cliente]],'BASE DE CLIENTES'!A:D,4,0)</f>
        <v>EMPRESA SEM MAQUINA</v>
      </c>
      <c r="L6167" s="1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1" t="str">
        <f>VLOOKUP(Tabela1[[#This Row],[Cliente]],'BASE DE CLIENTES'!A:E,2,0)</f>
        <v>Brasília</v>
      </c>
      <c r="D6168" s="1" t="str">
        <f>VLOOKUP(Tabela1[[#This Row],[Cliente]],'BASE DE CLIENTES'!A:C,3,0)</f>
        <v>DF</v>
      </c>
      <c r="E6168" s="1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3">
        <f>Tabela1[[#This Row],[MARGEM BRUTA]]/Tabela1[[#This Row],[Valor total]]</f>
        <v>-5.5838666666666672</v>
      </c>
      <c r="K6168" s="1" t="str">
        <f>VLOOKUP(Tabela1[[#This Row],[Cliente]],'BASE DE CLIENTES'!A:D,4,0)</f>
        <v>EMPRESA COM MAQUINA</v>
      </c>
      <c r="L6168" s="1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1" t="str">
        <f>VLOOKUP(Tabela1[[#This Row],[Cliente]],'BASE DE CLIENTES'!A:E,2,0)</f>
        <v>Brasília</v>
      </c>
      <c r="D6169" s="1" t="str">
        <f>VLOOKUP(Tabela1[[#This Row],[Cliente]],'BASE DE CLIENTES'!A:C,3,0)</f>
        <v>DF</v>
      </c>
      <c r="E6169" s="1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3">
        <f>Tabela1[[#This Row],[MARGEM BRUTA]]/Tabela1[[#This Row],[Valor total]]</f>
        <v>0.3504273504273504</v>
      </c>
      <c r="K6169" s="1" t="str">
        <f>VLOOKUP(Tabela1[[#This Row],[Cliente]],'BASE DE CLIENTES'!A:D,4,0)</f>
        <v>EMPRESA COM MAQUINA</v>
      </c>
      <c r="L6169" s="1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1" t="str">
        <f>VLOOKUP(Tabela1[[#This Row],[Cliente]],'BASE DE CLIENTES'!A:E,2,0)</f>
        <v>Brasília</v>
      </c>
      <c r="D6170" s="1" t="str">
        <f>VLOOKUP(Tabela1[[#This Row],[Cliente]],'BASE DE CLIENTES'!A:C,3,0)</f>
        <v>DF</v>
      </c>
      <c r="E6170" s="1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3">
        <f>Tabela1[[#This Row],[MARGEM BRUTA]]/Tabela1[[#This Row],[Valor total]]</f>
        <v>0.30909090909090908</v>
      </c>
      <c r="K6170" s="1" t="str">
        <f>VLOOKUP(Tabela1[[#This Row],[Cliente]],'BASE DE CLIENTES'!A:D,4,0)</f>
        <v>EMPRESA SEM MAQUINA</v>
      </c>
      <c r="L6170" s="1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1" t="str">
        <f>VLOOKUP(Tabela1[[#This Row],[Cliente]],'BASE DE CLIENTES'!A:E,2,0)</f>
        <v>Brasília</v>
      </c>
      <c r="D6171" s="1" t="str">
        <f>VLOOKUP(Tabela1[[#This Row],[Cliente]],'BASE DE CLIENTES'!A:C,3,0)</f>
        <v>DF</v>
      </c>
      <c r="E6171" s="1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3">
        <f>Tabela1[[#This Row],[MARGEM BRUTA]]/Tabela1[[#This Row],[Valor total]]</f>
        <v>0.30909090909090908</v>
      </c>
      <c r="K6171" s="1" t="str">
        <f>VLOOKUP(Tabela1[[#This Row],[Cliente]],'BASE DE CLIENTES'!A:D,4,0)</f>
        <v>EMPRESA SEM MAQUINA</v>
      </c>
      <c r="L6171" s="1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1" t="str">
        <f>VLOOKUP(Tabela1[[#This Row],[Cliente]],'BASE DE CLIENTES'!A:E,2,0)</f>
        <v>Brasília</v>
      </c>
      <c r="D6172" s="1" t="str">
        <f>VLOOKUP(Tabela1[[#This Row],[Cliente]],'BASE DE CLIENTES'!A:C,3,0)</f>
        <v>DF</v>
      </c>
      <c r="E6172" s="1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3">
        <f>Tabela1[[#This Row],[MARGEM BRUTA]]/Tabela1[[#This Row],[Valor total]]</f>
        <v>0.38211382113821141</v>
      </c>
      <c r="K6172" s="1" t="str">
        <f>VLOOKUP(Tabela1[[#This Row],[Cliente]],'BASE DE CLIENTES'!A:D,4,0)</f>
        <v>EMPRESA SEM MAQUINA</v>
      </c>
      <c r="L6172" s="1" t="str">
        <f>VLOOKUP(Tabela1[[#This Row],[Cliente]],'BASE DE CLIENTES'!A:E,5,0)</f>
        <v>SOBRADINHO</v>
      </c>
    </row>
    <row r="6173" spans="2:12" x14ac:dyDescent="0.3">
      <c r="B6173" t="s">
        <v>92</v>
      </c>
      <c r="C6173" s="1" t="str">
        <f>VLOOKUP(Tabela1[[#This Row],[Cliente]],'BASE DE CLIENTES'!A:E,2,0)</f>
        <v>Brasília</v>
      </c>
      <c r="D6173" s="1" t="str">
        <f>VLOOKUP(Tabela1[[#This Row],[Cliente]],'BASE DE CLIENTES'!A:C,3,0)</f>
        <v>DF</v>
      </c>
      <c r="E6173" s="1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3">
        <f>Tabela1[[#This Row],[MARGEM BRUTA]]/Tabela1[[#This Row],[Valor total]]</f>
        <v>0.32222222222222224</v>
      </c>
      <c r="K6173" s="1" t="str">
        <f>VLOOKUP(Tabela1[[#This Row],[Cliente]],'BASE DE CLIENTES'!A:D,4,0)</f>
        <v>EMPRESA SEM MAQUINA</v>
      </c>
      <c r="L6173" s="1" t="str">
        <f>VLOOKUP(Tabela1[[#This Row],[Cliente]],'BASE DE CLIENTES'!A:E,5,0)</f>
        <v>SOBRADINHO</v>
      </c>
    </row>
    <row r="6174" spans="2:12" x14ac:dyDescent="0.3">
      <c r="B6174" t="s">
        <v>85</v>
      </c>
      <c r="C6174" s="1" t="str">
        <f>VLOOKUP(Tabela1[[#This Row],[Cliente]],'BASE DE CLIENTES'!A:E,2,0)</f>
        <v>Brasília</v>
      </c>
      <c r="D6174" s="1" t="str">
        <f>VLOOKUP(Tabela1[[#This Row],[Cliente]],'BASE DE CLIENTES'!A:C,3,0)</f>
        <v>DF</v>
      </c>
      <c r="E6174" s="1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3">
        <f>Tabela1[[#This Row],[MARGEM BRUTA]]/Tabela1[[#This Row],[Valor total]]</f>
        <v>0.33333333333333331</v>
      </c>
      <c r="K6174" s="1" t="str">
        <f>VLOOKUP(Tabela1[[#This Row],[Cliente]],'BASE DE CLIENTES'!A:D,4,0)</f>
        <v>SERRALHEIRO</v>
      </c>
      <c r="L6174" s="1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1" t="str">
        <f>VLOOKUP(Tabela1[[#This Row],[Cliente]],'BASE DE CLIENTES'!A:E,2,0)</f>
        <v>Brasília</v>
      </c>
      <c r="D6175" s="1" t="str">
        <f>VLOOKUP(Tabela1[[#This Row],[Cliente]],'BASE DE CLIENTES'!A:C,3,0)</f>
        <v>DF</v>
      </c>
      <c r="E6175" s="1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3">
        <f>Tabela1[[#This Row],[MARGEM BRUTA]]/Tabela1[[#This Row],[Valor total]]</f>
        <v>0.36030534351145038</v>
      </c>
      <c r="K6175" s="1" t="str">
        <f>VLOOKUP(Tabela1[[#This Row],[Cliente]],'BASE DE CLIENTES'!A:D,4,0)</f>
        <v>EMPRESA SEM MAQUINA</v>
      </c>
      <c r="L6175" s="1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1" t="str">
        <f>VLOOKUP(Tabela1[[#This Row],[Cliente]],'BASE DE CLIENTES'!A:E,2,0)</f>
        <v>Brasília</v>
      </c>
      <c r="D6176" s="1" t="str">
        <f>VLOOKUP(Tabela1[[#This Row],[Cliente]],'BASE DE CLIENTES'!A:C,3,0)</f>
        <v>DF</v>
      </c>
      <c r="E6176" s="1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3">
        <f>Tabela1[[#This Row],[MARGEM BRUTA]]/Tabela1[[#This Row],[Valor total]]</f>
        <v>0.47272727272727272</v>
      </c>
      <c r="K6176" s="1" t="str">
        <f>VLOOKUP(Tabela1[[#This Row],[Cliente]],'BASE DE CLIENTES'!A:D,4,0)</f>
        <v>EMPRESA COM MAQUINA</v>
      </c>
      <c r="L6176" s="1" t="str">
        <f>VLOOKUP(Tabela1[[#This Row],[Cliente]],'BASE DE CLIENTES'!A:E,5,0)</f>
        <v>RIACHO FUNDO I</v>
      </c>
    </row>
    <row r="6177" spans="2:12" x14ac:dyDescent="0.3">
      <c r="B6177" t="s">
        <v>111</v>
      </c>
      <c r="C6177" s="1" t="str">
        <f>VLOOKUP(Tabela1[[#This Row],[Cliente]],'BASE DE CLIENTES'!A:E,2,0)</f>
        <v>Brasília</v>
      </c>
      <c r="D6177" s="1" t="str">
        <f>VLOOKUP(Tabela1[[#This Row],[Cliente]],'BASE DE CLIENTES'!A:C,3,0)</f>
        <v>DF</v>
      </c>
      <c r="E6177" s="1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3">
        <f>Tabela1[[#This Row],[MARGEM BRUTA]]/Tabela1[[#This Row],[Valor total]]</f>
        <v>0.3509632352941176</v>
      </c>
      <c r="K6177" s="1" t="str">
        <f>VLOOKUP(Tabela1[[#This Row],[Cliente]],'BASE DE CLIENTES'!A:D,4,0)</f>
        <v>EMPRESA SEM MAQUINA</v>
      </c>
      <c r="L6177" s="1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1" t="str">
        <f>VLOOKUP(Tabela1[[#This Row],[Cliente]],'BASE DE CLIENTES'!A:E,2,0)</f>
        <v>MERCADO LIVRE</v>
      </c>
      <c r="D6178" s="1" t="str">
        <f>VLOOKUP(Tabela1[[#This Row],[Cliente]],'BASE DE CLIENTES'!A:C,3,0)</f>
        <v>MERCADO LIVRE</v>
      </c>
      <c r="E6178" s="1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3">
        <f>Tabela1[[#This Row],[MARGEM BRUTA]]/Tabela1[[#This Row],[Valor total]]</f>
        <v>1</v>
      </c>
      <c r="K6178" s="1" t="str">
        <f>VLOOKUP(Tabela1[[#This Row],[Cliente]],'BASE DE CLIENTES'!A:D,4,0)</f>
        <v>OUTROS RAMOS</v>
      </c>
      <c r="L6178" s="1" t="str">
        <f>VLOOKUP(Tabela1[[#This Row],[Cliente]],'BASE DE CLIENTES'!A:E,5,0)</f>
        <v>MERCADO LIVRE</v>
      </c>
    </row>
    <row r="6179" spans="2:12" x14ac:dyDescent="0.3">
      <c r="B6179" t="s">
        <v>52</v>
      </c>
      <c r="C6179" s="1" t="str">
        <f>VLOOKUP(Tabela1[[#This Row],[Cliente]],'BASE DE CLIENTES'!A:E,2,0)</f>
        <v>Brasília</v>
      </c>
      <c r="D6179" s="1" t="str">
        <f>VLOOKUP(Tabela1[[#This Row],[Cliente]],'BASE DE CLIENTES'!A:C,3,0)</f>
        <v>DF</v>
      </c>
      <c r="E6179" s="1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3">
        <f>Tabela1[[#This Row],[MARGEM BRUTA]]/Tabela1[[#This Row],[Valor total]]</f>
        <v>0.36666666666666664</v>
      </c>
      <c r="K6179" s="1" t="str">
        <f>VLOOKUP(Tabela1[[#This Row],[Cliente]],'BASE DE CLIENTES'!A:D,4,0)</f>
        <v>SERRALHEIRO</v>
      </c>
      <c r="L6179" s="1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1" t="str">
        <f>VLOOKUP(Tabela1[[#This Row],[Cliente]],'BASE DE CLIENTES'!A:E,2,0)</f>
        <v>Brasília</v>
      </c>
      <c r="D6180" s="1" t="str">
        <f>VLOOKUP(Tabela1[[#This Row],[Cliente]],'BASE DE CLIENTES'!A:C,3,0)</f>
        <v>DF</v>
      </c>
      <c r="E6180" s="1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3">
        <f>Tabela1[[#This Row],[MARGEM BRUTA]]/Tabela1[[#This Row],[Valor total]]</f>
        <v>0.36666666666666664</v>
      </c>
      <c r="K6180" s="1" t="str">
        <f>VLOOKUP(Tabela1[[#This Row],[Cliente]],'BASE DE CLIENTES'!A:D,4,0)</f>
        <v>SERRALHEIRO</v>
      </c>
      <c r="L6180" s="1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1" t="str">
        <f>VLOOKUP(Tabela1[[#This Row],[Cliente]],'BASE DE CLIENTES'!A:E,2,0)</f>
        <v>Brasília</v>
      </c>
      <c r="D6181" s="1" t="str">
        <f>VLOOKUP(Tabela1[[#This Row],[Cliente]],'BASE DE CLIENTES'!A:C,3,0)</f>
        <v>DF</v>
      </c>
      <c r="E6181" s="1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3">
        <f>Tabela1[[#This Row],[MARGEM BRUTA]]/Tabela1[[#This Row],[Valor total]]</f>
        <v>-5.5838666666666672</v>
      </c>
      <c r="K6181" s="1" t="str">
        <f>VLOOKUP(Tabela1[[#This Row],[Cliente]],'BASE DE CLIENTES'!A:D,4,0)</f>
        <v>EMPRESA COM MAQUINA</v>
      </c>
      <c r="L6181" s="1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1" t="str">
        <f>VLOOKUP(Tabela1[[#This Row],[Cliente]],'BASE DE CLIENTES'!A:E,2,0)</f>
        <v>MERCADO LIVRE</v>
      </c>
      <c r="D6182" s="1" t="str">
        <f>VLOOKUP(Tabela1[[#This Row],[Cliente]],'BASE DE CLIENTES'!A:C,3,0)</f>
        <v>MERCADO LIVRE</v>
      </c>
      <c r="E6182" s="1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3">
        <f>Tabela1[[#This Row],[MARGEM BRUTA]]/Tabela1[[#This Row],[Valor total]]</f>
        <v>0.71621621621621623</v>
      </c>
      <c r="K6182" s="1" t="str">
        <f>VLOOKUP(Tabela1[[#This Row],[Cliente]],'BASE DE CLIENTES'!A:D,4,0)</f>
        <v>OUTROS RAMOS</v>
      </c>
      <c r="L6182" s="1" t="str">
        <f>VLOOKUP(Tabela1[[#This Row],[Cliente]],'BASE DE CLIENTES'!A:E,5,0)</f>
        <v>MERCADO LIVRE</v>
      </c>
    </row>
    <row r="6183" spans="2:12" x14ac:dyDescent="0.3">
      <c r="B6183" t="s">
        <v>70</v>
      </c>
      <c r="C6183" s="1" t="str">
        <f>VLOOKUP(Tabela1[[#This Row],[Cliente]],'BASE DE CLIENTES'!A:E,2,0)</f>
        <v>Brasília</v>
      </c>
      <c r="D6183" s="1" t="str">
        <f>VLOOKUP(Tabela1[[#This Row],[Cliente]],'BASE DE CLIENTES'!A:C,3,0)</f>
        <v>DF</v>
      </c>
      <c r="E6183" s="1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3">
        <f>Tabela1[[#This Row],[MARGEM BRUTA]]/Tabela1[[#This Row],[Valor total]]</f>
        <v>0.32222222222222224</v>
      </c>
      <c r="K6183" s="1" t="str">
        <f>VLOOKUP(Tabela1[[#This Row],[Cliente]],'BASE DE CLIENTES'!A:D,4,0)</f>
        <v>EMPRESA COM MAQUINA</v>
      </c>
      <c r="L6183" s="1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1" t="str">
        <f>VLOOKUP(Tabela1[[#This Row],[Cliente]],'BASE DE CLIENTES'!A:E,2,0)</f>
        <v>Brasília</v>
      </c>
      <c r="D6184" s="1" t="str">
        <f>VLOOKUP(Tabela1[[#This Row],[Cliente]],'BASE DE CLIENTES'!A:C,3,0)</f>
        <v>DF</v>
      </c>
      <c r="E6184" s="1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3">
        <f>Tabela1[[#This Row],[MARGEM BRUTA]]/Tabela1[[#This Row],[Valor total]]</f>
        <v>0.38191208791208786</v>
      </c>
      <c r="K6184" s="1" t="str">
        <f>VLOOKUP(Tabela1[[#This Row],[Cliente]],'BASE DE CLIENTES'!A:D,4,0)</f>
        <v>EMPRESA COM MAQUINA</v>
      </c>
      <c r="L6184" s="1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1" t="str">
        <f>VLOOKUP(Tabela1[[#This Row],[Cliente]],'BASE DE CLIENTES'!A:E,2,0)</f>
        <v>Brasília</v>
      </c>
      <c r="D6185" s="1" t="str">
        <f>VLOOKUP(Tabela1[[#This Row],[Cliente]],'BASE DE CLIENTES'!A:C,3,0)</f>
        <v>DF</v>
      </c>
      <c r="E6185" s="1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3">
        <f>Tabela1[[#This Row],[MARGEM BRUTA]]/Tabela1[[#This Row],[Valor total]]</f>
        <v>0.518395061728395</v>
      </c>
      <c r="K6185" s="1" t="str">
        <f>VLOOKUP(Tabela1[[#This Row],[Cliente]],'BASE DE CLIENTES'!A:D,4,0)</f>
        <v>SERRALHEIRO</v>
      </c>
      <c r="L6185" s="1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1" t="str">
        <f>VLOOKUP(Tabela1[[#This Row],[Cliente]],'BASE DE CLIENTES'!A:E,2,0)</f>
        <v>Brasília</v>
      </c>
      <c r="D6186" s="1" t="str">
        <f>VLOOKUP(Tabela1[[#This Row],[Cliente]],'BASE DE CLIENTES'!A:C,3,0)</f>
        <v>DF</v>
      </c>
      <c r="E6186" s="1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3">
        <f>Tabela1[[#This Row],[MARGEM BRUTA]]/Tabela1[[#This Row],[Valor total]]</f>
        <v>0.41485714285714287</v>
      </c>
      <c r="K6186" s="1" t="str">
        <f>VLOOKUP(Tabela1[[#This Row],[Cliente]],'BASE DE CLIENTES'!A:D,4,0)</f>
        <v>SERRALHEIRO</v>
      </c>
      <c r="L6186" s="1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1" t="str">
        <f>VLOOKUP(Tabela1[[#This Row],[Cliente]],'BASE DE CLIENTES'!A:E,2,0)</f>
        <v>MERCADO LIVRE</v>
      </c>
      <c r="D6187" s="1" t="str">
        <f>VLOOKUP(Tabela1[[#This Row],[Cliente]],'BASE DE CLIENTES'!A:C,3,0)</f>
        <v>MERCADO LIVRE</v>
      </c>
      <c r="E6187" s="1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3">
        <f>Tabela1[[#This Row],[MARGEM BRUTA]]/Tabela1[[#This Row],[Valor total]]</f>
        <v>1</v>
      </c>
      <c r="K6187" s="1" t="str">
        <f>VLOOKUP(Tabela1[[#This Row],[Cliente]],'BASE DE CLIENTES'!A:D,4,0)</f>
        <v>OUTROS RAMOS</v>
      </c>
      <c r="L6187" s="1" t="str">
        <f>VLOOKUP(Tabela1[[#This Row],[Cliente]],'BASE DE CLIENTES'!A:E,5,0)</f>
        <v>MERCADO LIVRE</v>
      </c>
    </row>
    <row r="6188" spans="2:12" x14ac:dyDescent="0.3">
      <c r="B6188" t="s">
        <v>38</v>
      </c>
      <c r="C6188" s="1" t="str">
        <f>VLOOKUP(Tabela1[[#This Row],[Cliente]],'BASE DE CLIENTES'!A:E,2,0)</f>
        <v>Brasília</v>
      </c>
      <c r="D6188" s="1" t="str">
        <f>VLOOKUP(Tabela1[[#This Row],[Cliente]],'BASE DE CLIENTES'!A:C,3,0)</f>
        <v>DF</v>
      </c>
      <c r="E6188" s="1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3">
        <f>Tabela1[[#This Row],[MARGEM BRUTA]]/Tabela1[[#This Row],[Valor total]]</f>
        <v>0.38211382113821141</v>
      </c>
      <c r="K6188" s="1" t="str">
        <f>VLOOKUP(Tabela1[[#This Row],[Cliente]],'BASE DE CLIENTES'!A:D,4,0)</f>
        <v>EMPRESA SEM MAQUINA</v>
      </c>
      <c r="L6188" s="1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1" t="str">
        <f>VLOOKUP(Tabela1[[#This Row],[Cliente]],'BASE DE CLIENTES'!A:E,2,0)</f>
        <v>Valparaíso de Goiás</v>
      </c>
      <c r="D6189" s="1" t="str">
        <f>VLOOKUP(Tabela1[[#This Row],[Cliente]],'BASE DE CLIENTES'!A:C,3,0)</f>
        <v>GO</v>
      </c>
      <c r="E6189" s="1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3">
        <f>Tabela1[[#This Row],[MARGEM BRUTA]]/Tabela1[[#This Row],[Valor total]]</f>
        <v>0.44401544401544402</v>
      </c>
      <c r="K6189" s="1" t="str">
        <f>VLOOKUP(Tabela1[[#This Row],[Cliente]],'BASE DE CLIENTES'!A:D,4,0)</f>
        <v>CLIENTE NOVO S/ IDENT.</v>
      </c>
      <c r="L6189" s="1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1" t="str">
        <f>VLOOKUP(Tabela1[[#This Row],[Cliente]],'BASE DE CLIENTES'!A:E,2,0)</f>
        <v>Brasília</v>
      </c>
      <c r="D6190" s="1" t="str">
        <f>VLOOKUP(Tabela1[[#This Row],[Cliente]],'BASE DE CLIENTES'!A:C,3,0)</f>
        <v>DF</v>
      </c>
      <c r="E6190" s="1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3">
        <f>Tabela1[[#This Row],[MARGEM BRUTA]]/Tabela1[[#This Row],[Valor total]]</f>
        <v>0.3193548387096774</v>
      </c>
      <c r="K6190" s="1" t="str">
        <f>VLOOKUP(Tabela1[[#This Row],[Cliente]],'BASE DE CLIENTES'!A:D,4,0)</f>
        <v>EMPRESA SEM MAQUINA</v>
      </c>
      <c r="L6190" s="1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1" t="str">
        <f>VLOOKUP(Tabela1[[#This Row],[Cliente]],'BASE DE CLIENTES'!A:E,2,0)</f>
        <v>MERCADO LIVRE</v>
      </c>
      <c r="D6191" s="1" t="str">
        <f>VLOOKUP(Tabela1[[#This Row],[Cliente]],'BASE DE CLIENTES'!A:C,3,0)</f>
        <v>MERCADO LIVRE</v>
      </c>
      <c r="E6191" s="1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3">
        <f>Tabela1[[#This Row],[MARGEM BRUTA]]/Tabela1[[#This Row],[Valor total]]</f>
        <v>0.74472717376513808</v>
      </c>
      <c r="K6191" s="1" t="str">
        <f>VLOOKUP(Tabela1[[#This Row],[Cliente]],'BASE DE CLIENTES'!A:D,4,0)</f>
        <v>OUTROS RAMOS</v>
      </c>
      <c r="L6191" s="1" t="str">
        <f>VLOOKUP(Tabela1[[#This Row],[Cliente]],'BASE DE CLIENTES'!A:E,5,0)</f>
        <v>MERCADO LIVRE</v>
      </c>
    </row>
    <row r="6192" spans="2:12" x14ac:dyDescent="0.3">
      <c r="B6192" t="s">
        <v>187</v>
      </c>
      <c r="C6192" s="1" t="str">
        <f>VLOOKUP(Tabela1[[#This Row],[Cliente]],'BASE DE CLIENTES'!A:E,2,0)</f>
        <v>Brasília</v>
      </c>
      <c r="D6192" s="1" t="str">
        <f>VLOOKUP(Tabela1[[#This Row],[Cliente]],'BASE DE CLIENTES'!A:C,3,0)</f>
        <v>DF</v>
      </c>
      <c r="E6192" s="1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3">
        <f>Tabela1[[#This Row],[MARGEM BRUTA]]/Tabela1[[#This Row],[Valor total]]</f>
        <v>0.32222222222222224</v>
      </c>
      <c r="K6192" s="1" t="str">
        <f>VLOOKUP(Tabela1[[#This Row],[Cliente]],'BASE DE CLIENTES'!A:D,4,0)</f>
        <v>SERRALHEIRO</v>
      </c>
      <c r="L6192" s="1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1" t="str">
        <f>VLOOKUP(Tabela1[[#This Row],[Cliente]],'BASE DE CLIENTES'!A:E,2,0)</f>
        <v>Brasília</v>
      </c>
      <c r="D6193" s="1" t="str">
        <f>VLOOKUP(Tabela1[[#This Row],[Cliente]],'BASE DE CLIENTES'!A:C,3,0)</f>
        <v>DF</v>
      </c>
      <c r="E6193" s="1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3">
        <f>Tabela1[[#This Row],[MARGEM BRUTA]]/Tabela1[[#This Row],[Valor total]]</f>
        <v>0.34482758620689657</v>
      </c>
      <c r="K6193" s="1" t="str">
        <f>VLOOKUP(Tabela1[[#This Row],[Cliente]],'BASE DE CLIENTES'!A:D,4,0)</f>
        <v>EMPRESA SEM MAQUINA</v>
      </c>
      <c r="L6193" s="1" t="str">
        <f>VLOOKUP(Tabela1[[#This Row],[Cliente]],'BASE DE CLIENTES'!A:E,5,0)</f>
        <v>SAMAMBAIA</v>
      </c>
    </row>
    <row r="6194" spans="2:12" x14ac:dyDescent="0.3">
      <c r="B6194" t="s">
        <v>1223</v>
      </c>
      <c r="C6194" s="1" t="str">
        <f>VLOOKUP(Tabela1[[#This Row],[Cliente]],'BASE DE CLIENTES'!A:E,2,0)</f>
        <v>MERCADO LIVRE</v>
      </c>
      <c r="D6194" s="1" t="str">
        <f>VLOOKUP(Tabela1[[#This Row],[Cliente]],'BASE DE CLIENTES'!A:C,3,0)</f>
        <v>MERCADO LIVRE</v>
      </c>
      <c r="E6194" s="1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3">
        <f>Tabela1[[#This Row],[MARGEM BRUTA]]/Tabela1[[#This Row],[Valor total]]</f>
        <v>0.3910830197410885</v>
      </c>
      <c r="K6194" s="1" t="str">
        <f>VLOOKUP(Tabela1[[#This Row],[Cliente]],'BASE DE CLIENTES'!A:D,4,0)</f>
        <v>OUTROS RAMOS</v>
      </c>
      <c r="L6194" s="1" t="str">
        <f>VLOOKUP(Tabela1[[#This Row],[Cliente]],'BASE DE CLIENTES'!A:E,5,0)</f>
        <v>MERCADO LIVRE</v>
      </c>
    </row>
    <row r="6195" spans="2:12" x14ac:dyDescent="0.3">
      <c r="B6195" t="s">
        <v>217</v>
      </c>
      <c r="C6195" s="1" t="str">
        <f>VLOOKUP(Tabela1[[#This Row],[Cliente]],'BASE DE CLIENTES'!A:E,2,0)</f>
        <v>Brasília</v>
      </c>
      <c r="D6195" s="1" t="str">
        <f>VLOOKUP(Tabela1[[#This Row],[Cliente]],'BASE DE CLIENTES'!A:C,3,0)</f>
        <v>DF</v>
      </c>
      <c r="E6195" s="1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3">
        <f>Tabela1[[#This Row],[MARGEM BRUTA]]/Tabela1[[#This Row],[Valor total]]</f>
        <v>0.78285714285714281</v>
      </c>
      <c r="K6195" s="1" t="str">
        <f>VLOOKUP(Tabela1[[#This Row],[Cliente]],'BASE DE CLIENTES'!A:D,4,0)</f>
        <v>EMPRESA SEM MAQUINA</v>
      </c>
      <c r="L6195" s="1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1" t="str">
        <f>VLOOKUP(Tabela1[[#This Row],[Cliente]],'BASE DE CLIENTES'!A:E,2,0)</f>
        <v>Brasília</v>
      </c>
      <c r="D6196" s="1" t="str">
        <f>VLOOKUP(Tabela1[[#This Row],[Cliente]],'BASE DE CLIENTES'!A:C,3,0)</f>
        <v>DF</v>
      </c>
      <c r="E6196" s="1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3">
        <f>Tabela1[[#This Row],[MARGEM BRUTA]]/Tabela1[[#This Row],[Valor total]]</f>
        <v>0.41085271317829458</v>
      </c>
      <c r="K6196" s="1" t="str">
        <f>VLOOKUP(Tabela1[[#This Row],[Cliente]],'BASE DE CLIENTES'!A:D,4,0)</f>
        <v>CLIENTE NOVO S/ IDENT.</v>
      </c>
      <c r="L6196" s="1" t="str">
        <f>VLOOKUP(Tabela1[[#This Row],[Cliente]],'BASE DE CLIENTES'!A:E,5,0)</f>
        <v>SAMAMBAIA SUL</v>
      </c>
    </row>
    <row r="6197" spans="2:12" x14ac:dyDescent="0.3">
      <c r="B6197" t="s">
        <v>255</v>
      </c>
      <c r="C6197" s="1" t="str">
        <f>VLOOKUP(Tabela1[[#This Row],[Cliente]],'BASE DE CLIENTES'!A:E,2,0)</f>
        <v>Brasília</v>
      </c>
      <c r="D6197" s="1" t="str">
        <f>VLOOKUP(Tabela1[[#This Row],[Cliente]],'BASE DE CLIENTES'!A:C,3,0)</f>
        <v>DF</v>
      </c>
      <c r="E6197" s="1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3">
        <f>Tabela1[[#This Row],[MARGEM BRUTA]]/Tabela1[[#This Row],[Valor total]]</f>
        <v>0.36666666666666664</v>
      </c>
      <c r="K6197" s="1" t="str">
        <f>VLOOKUP(Tabela1[[#This Row],[Cliente]],'BASE DE CLIENTES'!A:D,4,0)</f>
        <v>EMPRESA COM MAQUINA</v>
      </c>
      <c r="L6197" s="1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1" t="str">
        <f>VLOOKUP(Tabela1[[#This Row],[Cliente]],'BASE DE CLIENTES'!A:E,2,0)</f>
        <v>Aparecida de Goiânia</v>
      </c>
      <c r="D6198" s="1" t="str">
        <f>VLOOKUP(Tabela1[[#This Row],[Cliente]],'BASE DE CLIENTES'!A:C,3,0)</f>
        <v>GO</v>
      </c>
      <c r="E6198" s="1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3">
        <f>Tabela1[[#This Row],[MARGEM BRUTA]]/Tabela1[[#This Row],[Valor total]]</f>
        <v>0.28673378839590441</v>
      </c>
      <c r="K6198" s="1" t="str">
        <f>VLOOKUP(Tabela1[[#This Row],[Cliente]],'BASE DE CLIENTES'!A:D,4,0)</f>
        <v>TECNICO</v>
      </c>
      <c r="L6198" s="1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1" t="str">
        <f>VLOOKUP(Tabela1[[#This Row],[Cliente]],'BASE DE CLIENTES'!A:E,2,0)</f>
        <v>Águas Lindas de Goiás</v>
      </c>
      <c r="D6199" s="1" t="str">
        <f>VLOOKUP(Tabela1[[#This Row],[Cliente]],'BASE DE CLIENTES'!A:C,3,0)</f>
        <v>GO</v>
      </c>
      <c r="E6199" s="1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3">
        <f>Tabela1[[#This Row],[MARGEM BRUTA]]/Tabela1[[#This Row],[Valor total]]</f>
        <v>0.34121686746987956</v>
      </c>
      <c r="K6199" s="1" t="str">
        <f>VLOOKUP(Tabela1[[#This Row],[Cliente]],'BASE DE CLIENTES'!A:D,4,0)</f>
        <v>EMPRESA COM MAQUINA</v>
      </c>
      <c r="L6199" s="1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1" t="str">
        <f>VLOOKUP(Tabela1[[#This Row],[Cliente]],'BASE DE CLIENTES'!A:E,2,0)</f>
        <v>Brasília</v>
      </c>
      <c r="D6200" s="1" t="str">
        <f>VLOOKUP(Tabela1[[#This Row],[Cliente]],'BASE DE CLIENTES'!A:C,3,0)</f>
        <v>DF</v>
      </c>
      <c r="E6200" s="1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3">
        <f>Tabela1[[#This Row],[MARGEM BRUTA]]/Tabela1[[#This Row],[Valor total]]</f>
        <v>0.30909090909090908</v>
      </c>
      <c r="K6200" s="1" t="str">
        <f>VLOOKUP(Tabela1[[#This Row],[Cliente]],'BASE DE CLIENTES'!A:D,4,0)</f>
        <v>EMPRESA SEM MAQUINA</v>
      </c>
      <c r="L6200" s="1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1" t="str">
        <f>VLOOKUP(Tabela1[[#This Row],[Cliente]],'BASE DE CLIENTES'!A:E,2,0)</f>
        <v>Brasília</v>
      </c>
      <c r="D6201" s="1" t="str">
        <f>VLOOKUP(Tabela1[[#This Row],[Cliente]],'BASE DE CLIENTES'!A:C,3,0)</f>
        <v>DF</v>
      </c>
      <c r="E6201" s="1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3">
        <f>Tabela1[[#This Row],[MARGEM BRUTA]]/Tabela1[[#This Row],[Valor total]]</f>
        <v>0.22242857142857142</v>
      </c>
      <c r="K6201" s="1" t="str">
        <f>VLOOKUP(Tabela1[[#This Row],[Cliente]],'BASE DE CLIENTES'!A:D,4,0)</f>
        <v>EMPRESA SEM MAQUINA</v>
      </c>
      <c r="L6201" s="1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1" t="str">
        <f>VLOOKUP(Tabela1[[#This Row],[Cliente]],'BASE DE CLIENTES'!A:E,2,0)</f>
        <v>Brasília</v>
      </c>
      <c r="D6202" s="1" t="str">
        <f>VLOOKUP(Tabela1[[#This Row],[Cliente]],'BASE DE CLIENTES'!A:C,3,0)</f>
        <v>DF</v>
      </c>
      <c r="E6202" s="1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3">
        <f>Tabela1[[#This Row],[MARGEM BRUTA]]/Tabela1[[#This Row],[Valor total]]</f>
        <v>0.38211382113821141</v>
      </c>
      <c r="K6202" s="1" t="str">
        <f>VLOOKUP(Tabela1[[#This Row],[Cliente]],'BASE DE CLIENTES'!A:D,4,0)</f>
        <v>EMPRESA SEM MAQUINA</v>
      </c>
      <c r="L6202" s="1" t="str">
        <f>VLOOKUP(Tabela1[[#This Row],[Cliente]],'BASE DE CLIENTES'!A:E,5,0)</f>
        <v>RECANTO DAS EMAS</v>
      </c>
    </row>
    <row r="6203" spans="2:12" x14ac:dyDescent="0.3">
      <c r="B6203" t="s">
        <v>55</v>
      </c>
      <c r="C6203" s="1" t="str">
        <f>VLOOKUP(Tabela1[[#This Row],[Cliente]],'BASE DE CLIENTES'!A:E,2,0)</f>
        <v>Brasília</v>
      </c>
      <c r="D6203" s="1" t="str">
        <f>VLOOKUP(Tabela1[[#This Row],[Cliente]],'BASE DE CLIENTES'!A:C,3,0)</f>
        <v>DF</v>
      </c>
      <c r="E6203" s="1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3">
        <f>Tabela1[[#This Row],[MARGEM BRUTA]]/Tabela1[[#This Row],[Valor total]]</f>
        <v>0.39058745874587458</v>
      </c>
      <c r="K6203" s="1" t="str">
        <f>VLOOKUP(Tabela1[[#This Row],[Cliente]],'BASE DE CLIENTES'!A:D,4,0)</f>
        <v>EMPRESA SEM MAQUINA</v>
      </c>
      <c r="L6203" s="1" t="str">
        <f>VLOOKUP(Tabela1[[#This Row],[Cliente]],'BASE DE CLIENTES'!A:E,5,0)</f>
        <v>RECANTO DAS EMAS</v>
      </c>
    </row>
    <row r="6204" spans="2:12" x14ac:dyDescent="0.3">
      <c r="B6204" t="s">
        <v>128</v>
      </c>
      <c r="C6204" s="1" t="str">
        <f>VLOOKUP(Tabela1[[#This Row],[Cliente]],'BASE DE CLIENTES'!A:E,2,0)</f>
        <v>Brasília</v>
      </c>
      <c r="D6204" s="1" t="str">
        <f>VLOOKUP(Tabela1[[#This Row],[Cliente]],'BASE DE CLIENTES'!A:C,3,0)</f>
        <v>DF</v>
      </c>
      <c r="E6204" s="1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3">
        <f>Tabela1[[#This Row],[MARGEM BRUTA]]/Tabela1[[#This Row],[Valor total]]</f>
        <v>0.47774869109947643</v>
      </c>
      <c r="K6204" s="1" t="str">
        <f>VLOOKUP(Tabela1[[#This Row],[Cliente]],'BASE DE CLIENTES'!A:D,4,0)</f>
        <v>SERRALHEIRO</v>
      </c>
      <c r="L6204" s="1" t="str">
        <f>VLOOKUP(Tabela1[[#This Row],[Cliente]],'BASE DE CLIENTES'!A:E,5,0)</f>
        <v>TAGUATINGA NORTE</v>
      </c>
    </row>
    <row r="6205" spans="2:12" x14ac:dyDescent="0.3">
      <c r="B6205" t="s">
        <v>92</v>
      </c>
      <c r="C6205" s="1" t="str">
        <f>VLOOKUP(Tabela1[[#This Row],[Cliente]],'BASE DE CLIENTES'!A:E,2,0)</f>
        <v>Brasília</v>
      </c>
      <c r="D6205" s="1" t="str">
        <f>VLOOKUP(Tabela1[[#This Row],[Cliente]],'BASE DE CLIENTES'!A:C,3,0)</f>
        <v>DF</v>
      </c>
      <c r="E6205" s="1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3">
        <f>Tabela1[[#This Row],[MARGEM BRUTA]]/Tabela1[[#This Row],[Valor total]]</f>
        <v>0.81</v>
      </c>
      <c r="K6205" s="1" t="str">
        <f>VLOOKUP(Tabela1[[#This Row],[Cliente]],'BASE DE CLIENTES'!A:D,4,0)</f>
        <v>EMPRESA SEM MAQUINA</v>
      </c>
      <c r="L6205" s="1" t="str">
        <f>VLOOKUP(Tabela1[[#This Row],[Cliente]],'BASE DE CLIENTES'!A:E,5,0)</f>
        <v>SOBRADINHO</v>
      </c>
    </row>
    <row r="6206" spans="2:12" x14ac:dyDescent="0.3">
      <c r="B6206" t="s">
        <v>92</v>
      </c>
      <c r="C6206" s="1" t="str">
        <f>VLOOKUP(Tabela1[[#This Row],[Cliente]],'BASE DE CLIENTES'!A:E,2,0)</f>
        <v>Brasília</v>
      </c>
      <c r="D6206" s="1" t="str">
        <f>VLOOKUP(Tabela1[[#This Row],[Cliente]],'BASE DE CLIENTES'!A:C,3,0)</f>
        <v>DF</v>
      </c>
      <c r="E6206" s="1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3">
        <f>Tabela1[[#This Row],[MARGEM BRUTA]]/Tabela1[[#This Row],[Valor total]]</f>
        <v>0.38124999999999998</v>
      </c>
      <c r="K6206" s="1" t="str">
        <f>VLOOKUP(Tabela1[[#This Row],[Cliente]],'BASE DE CLIENTES'!A:D,4,0)</f>
        <v>EMPRESA SEM MAQUINA</v>
      </c>
      <c r="L6206" s="1" t="str">
        <f>VLOOKUP(Tabela1[[#This Row],[Cliente]],'BASE DE CLIENTES'!A:E,5,0)</f>
        <v>SOBRADINHO</v>
      </c>
    </row>
    <row r="6207" spans="2:12" x14ac:dyDescent="0.3">
      <c r="B6207" t="s">
        <v>117</v>
      </c>
      <c r="C6207" s="1" t="str">
        <f>VLOOKUP(Tabela1[[#This Row],[Cliente]],'BASE DE CLIENTES'!A:E,2,0)</f>
        <v>Brasília</v>
      </c>
      <c r="D6207" s="1" t="str">
        <f>VLOOKUP(Tabela1[[#This Row],[Cliente]],'BASE DE CLIENTES'!A:C,3,0)</f>
        <v>DF</v>
      </c>
      <c r="E6207" s="1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3">
        <f>Tabela1[[#This Row],[MARGEM BRUTA]]/Tabela1[[#This Row],[Valor total]]</f>
        <v>0.19477647058823522</v>
      </c>
      <c r="K6207" s="1" t="str">
        <f>VLOOKUP(Tabela1[[#This Row],[Cliente]],'BASE DE CLIENTES'!A:D,4,0)</f>
        <v>EMPRESA COM MAQUINA</v>
      </c>
      <c r="L6207" s="1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1" t="str">
        <f>VLOOKUP(Tabela1[[#This Row],[Cliente]],'BASE DE CLIENTES'!A:E,2,0)</f>
        <v>Brasília</v>
      </c>
      <c r="D6208" s="1" t="str">
        <f>VLOOKUP(Tabela1[[#This Row],[Cliente]],'BASE DE CLIENTES'!A:C,3,0)</f>
        <v>DF</v>
      </c>
      <c r="E6208" s="1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3">
        <f>Tabela1[[#This Row],[MARGEM BRUTA]]/Tabela1[[#This Row],[Valor total]]</f>
        <v>0.16272727272727278</v>
      </c>
      <c r="K6208" s="1" t="str">
        <f>VLOOKUP(Tabela1[[#This Row],[Cliente]],'BASE DE CLIENTES'!A:D,4,0)</f>
        <v>EMPRESA SEM MAQUINA</v>
      </c>
      <c r="L6208" s="1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1" t="str">
        <f>VLOOKUP(Tabela1[[#This Row],[Cliente]],'BASE DE CLIENTES'!A:E,2,0)</f>
        <v>Brasília</v>
      </c>
      <c r="D6209" s="1" t="str">
        <f>VLOOKUP(Tabela1[[#This Row],[Cliente]],'BASE DE CLIENTES'!A:C,3,0)</f>
        <v>DF</v>
      </c>
      <c r="E6209" s="1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3">
        <f>Tabela1[[#This Row],[MARGEM BRUTA]]/Tabela1[[#This Row],[Valor total]]</f>
        <v>0.36333333333333334</v>
      </c>
      <c r="K6209" s="1" t="str">
        <f>VLOOKUP(Tabela1[[#This Row],[Cliente]],'BASE DE CLIENTES'!A:D,4,0)</f>
        <v>CHAVEIRO</v>
      </c>
      <c r="L6209" s="1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1" t="str">
        <f>VLOOKUP(Tabela1[[#This Row],[Cliente]],'BASE DE CLIENTES'!A:E,2,0)</f>
        <v>Brasília</v>
      </c>
      <c r="D6210" s="1" t="str">
        <f>VLOOKUP(Tabela1[[#This Row],[Cliente]],'BASE DE CLIENTES'!A:C,3,0)</f>
        <v>DF</v>
      </c>
      <c r="E6210" s="1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3">
        <f>Tabela1[[#This Row],[MARGEM BRUTA]]/Tabela1[[#This Row],[Valor total]]</f>
        <v>1</v>
      </c>
      <c r="K6210" s="1" t="str">
        <f>VLOOKUP(Tabela1[[#This Row],[Cliente]],'BASE DE CLIENTES'!A:D,4,0)</f>
        <v>EMPRESA SEM MAQUINA</v>
      </c>
      <c r="L6210" s="1" t="str">
        <f>VLOOKUP(Tabela1[[#This Row],[Cliente]],'BASE DE CLIENTES'!A:E,5,0)</f>
        <v>RECANTO DAS EMAS</v>
      </c>
    </row>
    <row r="6211" spans="2:12" x14ac:dyDescent="0.3">
      <c r="B6211" t="s">
        <v>111</v>
      </c>
      <c r="C6211" s="1" t="str">
        <f>VLOOKUP(Tabela1[[#This Row],[Cliente]],'BASE DE CLIENTES'!A:E,2,0)</f>
        <v>Brasília</v>
      </c>
      <c r="D6211" s="1" t="str">
        <f>VLOOKUP(Tabela1[[#This Row],[Cliente]],'BASE DE CLIENTES'!A:C,3,0)</f>
        <v>DF</v>
      </c>
      <c r="E6211" s="1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3">
        <f>Tabela1[[#This Row],[MARGEM BRUTA]]/Tabela1[[#This Row],[Valor total]]</f>
        <v>0.34382727272727276</v>
      </c>
      <c r="K6211" s="1" t="str">
        <f>VLOOKUP(Tabela1[[#This Row],[Cliente]],'BASE DE CLIENTES'!A:D,4,0)</f>
        <v>EMPRESA SEM MAQUINA</v>
      </c>
      <c r="L6211" s="1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1" t="str">
        <f>VLOOKUP(Tabela1[[#This Row],[Cliente]],'BASE DE CLIENTES'!A:E,2,0)</f>
        <v>Brasília</v>
      </c>
      <c r="D6212" s="1" t="str">
        <f>VLOOKUP(Tabela1[[#This Row],[Cliente]],'BASE DE CLIENTES'!A:C,3,0)</f>
        <v>DF</v>
      </c>
      <c r="E6212" s="1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3">
        <f>Tabela1[[#This Row],[MARGEM BRUTA]]/Tabela1[[#This Row],[Valor total]]</f>
        <v>0.30473979591836731</v>
      </c>
      <c r="K6212" s="1" t="str">
        <f>VLOOKUP(Tabela1[[#This Row],[Cliente]],'BASE DE CLIENTES'!A:D,4,0)</f>
        <v>EMPRESA COM MAQUINA</v>
      </c>
      <c r="L6212" s="1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1" t="str">
        <f>VLOOKUP(Tabela1[[#This Row],[Cliente]],'BASE DE CLIENTES'!A:E,2,0)</f>
        <v>Brasília</v>
      </c>
      <c r="D6213" s="1" t="str">
        <f>VLOOKUP(Tabela1[[#This Row],[Cliente]],'BASE DE CLIENTES'!A:C,3,0)</f>
        <v>DF</v>
      </c>
      <c r="E6213" s="1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3">
        <f>Tabela1[[#This Row],[MARGEM BRUTA]]/Tabela1[[#This Row],[Valor total]]</f>
        <v>0.22242857142857142</v>
      </c>
      <c r="K6213" s="1" t="str">
        <f>VLOOKUP(Tabela1[[#This Row],[Cliente]],'BASE DE CLIENTES'!A:D,4,0)</f>
        <v>EMPRESA SEM MAQUINA</v>
      </c>
      <c r="L6213" s="1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1" t="str">
        <f>VLOOKUP(Tabela1[[#This Row],[Cliente]],'BASE DE CLIENTES'!A:E,2,0)</f>
        <v>Brasília</v>
      </c>
      <c r="D6214" s="1" t="str">
        <f>VLOOKUP(Tabela1[[#This Row],[Cliente]],'BASE DE CLIENTES'!A:C,3,0)</f>
        <v>DF</v>
      </c>
      <c r="E6214" s="1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3">
        <f>Tabela1[[#This Row],[MARGEM BRUTA]]/Tabela1[[#This Row],[Valor total]]</f>
        <v>0.34426229508196721</v>
      </c>
      <c r="K6214" s="1" t="str">
        <f>VLOOKUP(Tabela1[[#This Row],[Cliente]],'BASE DE CLIENTES'!A:D,4,0)</f>
        <v>SERRALHEIRO</v>
      </c>
      <c r="L6214" s="1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1" t="str">
        <f>VLOOKUP(Tabela1[[#This Row],[Cliente]],'BASE DE CLIENTES'!A:E,2,0)</f>
        <v>MERCADO LIVRE</v>
      </c>
      <c r="D6215" s="1" t="str">
        <f>VLOOKUP(Tabela1[[#This Row],[Cliente]],'BASE DE CLIENTES'!A:C,3,0)</f>
        <v>MERCADO LIVRE</v>
      </c>
      <c r="E6215" s="1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3">
        <f>Tabela1[[#This Row],[MARGEM BRUTA]]/Tabela1[[#This Row],[Valor total]]</f>
        <v>0.45092957622744695</v>
      </c>
      <c r="K6215" s="1" t="str">
        <f>VLOOKUP(Tabela1[[#This Row],[Cliente]],'BASE DE CLIENTES'!A:D,4,0)</f>
        <v>OUTROS RAMOS</v>
      </c>
      <c r="L6215" s="1" t="str">
        <f>VLOOKUP(Tabela1[[#This Row],[Cliente]],'BASE DE CLIENTES'!A:E,5,0)</f>
        <v>MERCADO LIVRE</v>
      </c>
    </row>
    <row r="6216" spans="2:12" x14ac:dyDescent="0.3">
      <c r="B6216" t="s">
        <v>299</v>
      </c>
      <c r="C6216" s="1" t="str">
        <f>VLOOKUP(Tabela1[[#This Row],[Cliente]],'BASE DE CLIENTES'!A:E,2,0)</f>
        <v>Santo Antônio Descoberto</v>
      </c>
      <c r="D6216" s="1" t="str">
        <f>VLOOKUP(Tabela1[[#This Row],[Cliente]],'BASE DE CLIENTES'!A:C,3,0)</f>
        <v>GO</v>
      </c>
      <c r="E6216" s="1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3">
        <f>Tabela1[[#This Row],[MARGEM BRUTA]]/Tabela1[[#This Row],[Valor total]]</f>
        <v>0.61882352941176477</v>
      </c>
      <c r="K6216" s="1" t="str">
        <f>VLOOKUP(Tabela1[[#This Row],[Cliente]],'BASE DE CLIENTES'!A:D,4,0)</f>
        <v>SERRALHEIRO</v>
      </c>
      <c r="L6216" s="1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1" t="str">
        <f>VLOOKUP(Tabela1[[#This Row],[Cliente]],'BASE DE CLIENTES'!A:E,2,0)</f>
        <v>Brasília</v>
      </c>
      <c r="D6217" s="1" t="str">
        <f>VLOOKUP(Tabela1[[#This Row],[Cliente]],'BASE DE CLIENTES'!A:C,3,0)</f>
        <v>DF</v>
      </c>
      <c r="E6217" s="1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3">
        <f>Tabela1[[#This Row],[MARGEM BRUTA]]/Tabela1[[#This Row],[Valor total]]</f>
        <v>1</v>
      </c>
      <c r="K6217" s="1" t="str">
        <f>VLOOKUP(Tabela1[[#This Row],[Cliente]],'BASE DE CLIENTES'!A:D,4,0)</f>
        <v>EMPRESA COM MAQUINA</v>
      </c>
      <c r="L6217" s="1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1" t="str">
        <f>VLOOKUP(Tabela1[[#This Row],[Cliente]],'BASE DE CLIENTES'!A:E,2,0)</f>
        <v>Brasília</v>
      </c>
      <c r="D6218" s="1" t="str">
        <f>VLOOKUP(Tabela1[[#This Row],[Cliente]],'BASE DE CLIENTES'!A:C,3,0)</f>
        <v>DF</v>
      </c>
      <c r="E6218" s="1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3">
        <f>Tabela1[[#This Row],[MARGEM BRUTA]]/Tabela1[[#This Row],[Valor total]]</f>
        <v>0.39275362318840579</v>
      </c>
      <c r="K6218" s="1" t="str">
        <f>VLOOKUP(Tabela1[[#This Row],[Cliente]],'BASE DE CLIENTES'!A:D,4,0)</f>
        <v>SERRALHEIRO</v>
      </c>
      <c r="L6218" s="1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1" t="str">
        <f>VLOOKUP(Tabela1[[#This Row],[Cliente]],'BASE DE CLIENTES'!A:E,2,0)</f>
        <v>Águas Lindas de Goiás</v>
      </c>
      <c r="D6219" s="1" t="str">
        <f>VLOOKUP(Tabela1[[#This Row],[Cliente]],'BASE DE CLIENTES'!A:C,3,0)</f>
        <v>GO</v>
      </c>
      <c r="E6219" s="1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3">
        <f>Tabela1[[#This Row],[MARGEM BRUTA]]/Tabela1[[#This Row],[Valor total]]</f>
        <v>0.44166666666666665</v>
      </c>
      <c r="K6219" s="1" t="str">
        <f>VLOOKUP(Tabela1[[#This Row],[Cliente]],'BASE DE CLIENTES'!A:D,4,0)</f>
        <v>SERRALHEIRO</v>
      </c>
      <c r="L6219" s="1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1" t="str">
        <f>VLOOKUP(Tabela1[[#This Row],[Cliente]],'BASE DE CLIENTES'!A:E,2,0)</f>
        <v>Brasília</v>
      </c>
      <c r="D6220" s="1" t="str">
        <f>VLOOKUP(Tabela1[[#This Row],[Cliente]],'BASE DE CLIENTES'!A:C,3,0)</f>
        <v>DF</v>
      </c>
      <c r="E6220" s="1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3">
        <f>Tabela1[[#This Row],[MARGEM BRUTA]]/Tabela1[[#This Row],[Valor total]]</f>
        <v>0.33143399810066476</v>
      </c>
      <c r="K6220" s="1" t="str">
        <f>VLOOKUP(Tabela1[[#This Row],[Cliente]],'BASE DE CLIENTES'!A:D,4,0)</f>
        <v>EMPRESA COM MAQUINA</v>
      </c>
      <c r="L6220" s="1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1" t="str">
        <f>VLOOKUP(Tabela1[[#This Row],[Cliente]],'BASE DE CLIENTES'!A:E,2,0)</f>
        <v>Brasília</v>
      </c>
      <c r="D6221" s="1" t="str">
        <f>VLOOKUP(Tabela1[[#This Row],[Cliente]],'BASE DE CLIENTES'!A:C,3,0)</f>
        <v>DF</v>
      </c>
      <c r="E6221" s="1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3">
        <f>Tabela1[[#This Row],[MARGEM BRUTA]]/Tabela1[[#This Row],[Valor total]]</f>
        <v>0.38523297491039421</v>
      </c>
      <c r="K6221" s="1" t="str">
        <f>VLOOKUP(Tabela1[[#This Row],[Cliente]],'BASE DE CLIENTES'!A:D,4,0)</f>
        <v>CLIENTE NOVO S/ IDENT.</v>
      </c>
      <c r="L6221" s="1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1" t="str">
        <f>VLOOKUP(Tabela1[[#This Row],[Cliente]],'BASE DE CLIENTES'!A:E,2,0)</f>
        <v>Brasília</v>
      </c>
      <c r="D6222" s="1" t="str">
        <f>VLOOKUP(Tabela1[[#This Row],[Cliente]],'BASE DE CLIENTES'!A:C,3,0)</f>
        <v>DF</v>
      </c>
      <c r="E6222" s="1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3">
        <f>Tabela1[[#This Row],[MARGEM BRUTA]]/Tabela1[[#This Row],[Valor total]]</f>
        <v>0.16200000000000001</v>
      </c>
      <c r="K6222" s="1" t="str">
        <f>VLOOKUP(Tabela1[[#This Row],[Cliente]],'BASE DE CLIENTES'!A:D,4,0)</f>
        <v>SERRALHEIRO</v>
      </c>
      <c r="L6222" s="1" t="str">
        <f>VLOOKUP(Tabela1[[#This Row],[Cliente]],'BASE DE CLIENTES'!A:E,5,0)</f>
        <v>RECANTO DAS EMAS</v>
      </c>
    </row>
    <row r="6223" spans="2:12" x14ac:dyDescent="0.3">
      <c r="B6223" t="s">
        <v>161</v>
      </c>
      <c r="C6223" s="1" t="str">
        <f>VLOOKUP(Tabela1[[#This Row],[Cliente]],'BASE DE CLIENTES'!A:E,2,0)</f>
        <v>Brasília</v>
      </c>
      <c r="D6223" s="1" t="str">
        <f>VLOOKUP(Tabela1[[#This Row],[Cliente]],'BASE DE CLIENTES'!A:C,3,0)</f>
        <v>DF</v>
      </c>
      <c r="E6223" s="1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3">
        <f>Tabela1[[#This Row],[MARGEM BRUTA]]/Tabela1[[#This Row],[Valor total]]</f>
        <v>0.34390243902439022</v>
      </c>
      <c r="K6223" s="1" t="str">
        <f>VLOOKUP(Tabela1[[#This Row],[Cliente]],'BASE DE CLIENTES'!A:D,4,0)</f>
        <v>EMPRESA COM MAQUINA</v>
      </c>
      <c r="L6223" s="1" t="str">
        <f>VLOOKUP(Tabela1[[#This Row],[Cliente]],'BASE DE CLIENTES'!A:E,5,0)</f>
        <v>RIACHO FUNDO II</v>
      </c>
    </row>
    <row r="6224" spans="2:12" x14ac:dyDescent="0.3">
      <c r="B6224" t="s">
        <v>316</v>
      </c>
      <c r="C6224" s="1" t="str">
        <f>VLOOKUP(Tabela1[[#This Row],[Cliente]],'BASE DE CLIENTES'!A:E,2,0)</f>
        <v>Valparaíso de Goiás</v>
      </c>
      <c r="D6224" s="1" t="str">
        <f>VLOOKUP(Tabela1[[#This Row],[Cliente]],'BASE DE CLIENTES'!A:C,3,0)</f>
        <v>GO</v>
      </c>
      <c r="E6224" s="1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3">
        <f>Tabela1[[#This Row],[MARGEM BRUTA]]/Tabela1[[#This Row],[Valor total]]</f>
        <v>0.35049999999999998</v>
      </c>
      <c r="K6224" s="1" t="str">
        <f>VLOOKUP(Tabela1[[#This Row],[Cliente]],'BASE DE CLIENTES'!A:D,4,0)</f>
        <v>SERRALHEIRO</v>
      </c>
      <c r="L6224" s="1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1" t="str">
        <f>VLOOKUP(Tabela1[[#This Row],[Cliente]],'BASE DE CLIENTES'!A:E,2,0)</f>
        <v>Brasília</v>
      </c>
      <c r="D6225" s="1" t="str">
        <f>VLOOKUP(Tabela1[[#This Row],[Cliente]],'BASE DE CLIENTES'!A:C,3,0)</f>
        <v>DF</v>
      </c>
      <c r="E6225" s="1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3">
        <f>Tabela1[[#This Row],[MARGEM BRUTA]]/Tabela1[[#This Row],[Valor total]]</f>
        <v>0.36030534351145038</v>
      </c>
      <c r="K6225" s="1" t="str">
        <f>VLOOKUP(Tabela1[[#This Row],[Cliente]],'BASE DE CLIENTES'!A:D,4,0)</f>
        <v>EMPRESA COM MAQUINA</v>
      </c>
      <c r="L6225" s="1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1" t="str">
        <f>VLOOKUP(Tabela1[[#This Row],[Cliente]],'BASE DE CLIENTES'!A:E,2,0)</f>
        <v>Brasília</v>
      </c>
      <c r="D6226" s="1" t="str">
        <f>VLOOKUP(Tabela1[[#This Row],[Cliente]],'BASE DE CLIENTES'!A:C,3,0)</f>
        <v>DF</v>
      </c>
      <c r="E6226" s="1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3">
        <f>Tabela1[[#This Row],[MARGEM BRUTA]]/Tabela1[[#This Row],[Valor total]]</f>
        <v>0.78266666666666673</v>
      </c>
      <c r="K6226" s="1" t="str">
        <f>VLOOKUP(Tabela1[[#This Row],[Cliente]],'BASE DE CLIENTES'!A:D,4,0)</f>
        <v>SERRALHEIRO</v>
      </c>
      <c r="L6226" s="1" t="str">
        <f>VLOOKUP(Tabela1[[#This Row],[Cliente]],'BASE DE CLIENTES'!A:E,5,0)</f>
        <v>CEILANDIA NORTE</v>
      </c>
    </row>
    <row r="6227" spans="2:12" x14ac:dyDescent="0.3">
      <c r="B6227" t="s">
        <v>187</v>
      </c>
      <c r="C6227" s="1" t="str">
        <f>VLOOKUP(Tabela1[[#This Row],[Cliente]],'BASE DE CLIENTES'!A:E,2,0)</f>
        <v>Brasília</v>
      </c>
      <c r="D6227" s="1" t="str">
        <f>VLOOKUP(Tabela1[[#This Row],[Cliente]],'BASE DE CLIENTES'!A:C,3,0)</f>
        <v>DF</v>
      </c>
      <c r="E6227" s="1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3">
        <f>Tabela1[[#This Row],[MARGEM BRUTA]]/Tabela1[[#This Row],[Valor total]]</f>
        <v>0.44588957055214723</v>
      </c>
      <c r="K6227" s="1" t="str">
        <f>VLOOKUP(Tabela1[[#This Row],[Cliente]],'BASE DE CLIENTES'!A:D,4,0)</f>
        <v>SERRALHEIRO</v>
      </c>
      <c r="L6227" s="1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1" t="str">
        <f>VLOOKUP(Tabela1[[#This Row],[Cliente]],'BASE DE CLIENTES'!A:E,2,0)</f>
        <v>Unaí</v>
      </c>
      <c r="D6228" s="1" t="str">
        <f>VLOOKUP(Tabela1[[#This Row],[Cliente]],'BASE DE CLIENTES'!A:C,3,0)</f>
        <v>MG</v>
      </c>
      <c r="E6228" s="1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3">
        <f>Tabela1[[#This Row],[MARGEM BRUTA]]/Tabela1[[#This Row],[Valor total]]</f>
        <v>0.37429795918367348</v>
      </c>
      <c r="K6228" s="1" t="str">
        <f>VLOOKUP(Tabela1[[#This Row],[Cliente]],'BASE DE CLIENTES'!A:D,4,0)</f>
        <v>SEM CLASSIFICAÇÃO</v>
      </c>
      <c r="L6228" s="1" t="str">
        <f>VLOOKUP(Tabela1[[#This Row],[Cliente]],'BASE DE CLIENTES'!A:E,5,0)</f>
        <v>Unaí</v>
      </c>
    </row>
    <row r="6229" spans="2:12" x14ac:dyDescent="0.3">
      <c r="B6229" t="s">
        <v>42</v>
      </c>
      <c r="C6229" s="1" t="str">
        <f>VLOOKUP(Tabela1[[#This Row],[Cliente]],'BASE DE CLIENTES'!A:E,2,0)</f>
        <v>Brasília</v>
      </c>
      <c r="D6229" s="1" t="str">
        <f>VLOOKUP(Tabela1[[#This Row],[Cliente]],'BASE DE CLIENTES'!A:C,3,0)</f>
        <v>DF</v>
      </c>
      <c r="E6229" s="1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3">
        <f>Tabela1[[#This Row],[MARGEM BRUTA]]/Tabela1[[#This Row],[Valor total]]</f>
        <v>0.34905952380952388</v>
      </c>
      <c r="K6229" s="1" t="str">
        <f>VLOOKUP(Tabela1[[#This Row],[Cliente]],'BASE DE CLIENTES'!A:D,4,0)</f>
        <v>EMPRESA SEM MAQUINA</v>
      </c>
      <c r="L6229" s="1" t="str">
        <f>VLOOKUP(Tabela1[[#This Row],[Cliente]],'BASE DE CLIENTES'!A:E,5,0)</f>
        <v>SAMAMBAIA</v>
      </c>
    </row>
    <row r="6230" spans="2:12" x14ac:dyDescent="0.3">
      <c r="B6230" t="s">
        <v>27</v>
      </c>
      <c r="C6230" s="1" t="str">
        <f>VLOOKUP(Tabela1[[#This Row],[Cliente]],'BASE DE CLIENTES'!A:E,2,0)</f>
        <v>Brasília</v>
      </c>
      <c r="D6230" s="1" t="str">
        <f>VLOOKUP(Tabela1[[#This Row],[Cliente]],'BASE DE CLIENTES'!A:C,3,0)</f>
        <v>DF</v>
      </c>
      <c r="E6230" s="1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3">
        <f>Tabela1[[#This Row],[MARGEM BRUTA]]/Tabela1[[#This Row],[Valor total]]</f>
        <v>0.39090909090909093</v>
      </c>
      <c r="K6230" s="1" t="str">
        <f>VLOOKUP(Tabela1[[#This Row],[Cliente]],'BASE DE CLIENTES'!A:D,4,0)</f>
        <v>EMPRESA SEM MAQUINA</v>
      </c>
      <c r="L6230" s="1" t="str">
        <f>VLOOKUP(Tabela1[[#This Row],[Cliente]],'BASE DE CLIENTES'!A:E,5,0)</f>
        <v>RECANTO DAS EMAS</v>
      </c>
    </row>
    <row r="6231" spans="2:12" x14ac:dyDescent="0.3">
      <c r="B6231" t="s">
        <v>99</v>
      </c>
      <c r="C6231" s="1" t="str">
        <f>VLOOKUP(Tabela1[[#This Row],[Cliente]],'BASE DE CLIENTES'!A:E,2,0)</f>
        <v>Brasília</v>
      </c>
      <c r="D6231" s="1" t="str">
        <f>VLOOKUP(Tabela1[[#This Row],[Cliente]],'BASE DE CLIENTES'!A:C,3,0)</f>
        <v>DF</v>
      </c>
      <c r="E6231" s="1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3">
        <f>Tabela1[[#This Row],[MARGEM BRUTA]]/Tabela1[[#This Row],[Valor total]]</f>
        <v>0.52373728813559317</v>
      </c>
      <c r="K6231" s="1" t="str">
        <f>VLOOKUP(Tabela1[[#This Row],[Cliente]],'BASE DE CLIENTES'!A:D,4,0)</f>
        <v>EMPRESA COM MAQUINA</v>
      </c>
      <c r="L6231" s="1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1" t="str">
        <f>VLOOKUP(Tabela1[[#This Row],[Cliente]],'BASE DE CLIENTES'!A:E,2,0)</f>
        <v>Brasília</v>
      </c>
      <c r="D6232" s="1" t="str">
        <f>VLOOKUP(Tabela1[[#This Row],[Cliente]],'BASE DE CLIENTES'!A:C,3,0)</f>
        <v>DF</v>
      </c>
      <c r="E6232" s="1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3">
        <f>Tabela1[[#This Row],[MARGEM BRUTA]]/Tabela1[[#This Row],[Valor total]]</f>
        <v>0.72355000000000003</v>
      </c>
      <c r="K6232" s="1" t="str">
        <f>VLOOKUP(Tabela1[[#This Row],[Cliente]],'BASE DE CLIENTES'!A:D,4,0)</f>
        <v>CLIENTE NOVO S/ IDENT.</v>
      </c>
      <c r="L6232" s="1" t="str">
        <f>VLOOKUP(Tabela1[[#This Row],[Cliente]],'BASE DE CLIENTES'!A:E,5,0)</f>
        <v>Brasília</v>
      </c>
    </row>
    <row r="6233" spans="2:12" x14ac:dyDescent="0.3">
      <c r="B6233" t="s">
        <v>38</v>
      </c>
      <c r="C6233" s="1" t="str">
        <f>VLOOKUP(Tabela1[[#This Row],[Cliente]],'BASE DE CLIENTES'!A:E,2,0)</f>
        <v>Brasília</v>
      </c>
      <c r="D6233" s="1" t="str">
        <f>VLOOKUP(Tabela1[[#This Row],[Cliente]],'BASE DE CLIENTES'!A:C,3,0)</f>
        <v>DF</v>
      </c>
      <c r="E6233" s="1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3">
        <f>Tabela1[[#This Row],[MARGEM BRUTA]]/Tabela1[[#This Row],[Valor total]]</f>
        <v>0.38272251308900523</v>
      </c>
      <c r="K6233" s="1" t="str">
        <f>VLOOKUP(Tabela1[[#This Row],[Cliente]],'BASE DE CLIENTES'!A:D,4,0)</f>
        <v>EMPRESA SEM MAQUINA</v>
      </c>
      <c r="L6233" s="1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1" t="str">
        <f>VLOOKUP(Tabela1[[#This Row],[Cliente]],'BASE DE CLIENTES'!A:E,2,0)</f>
        <v>Brasília</v>
      </c>
      <c r="D6234" s="1" t="str">
        <f>VLOOKUP(Tabela1[[#This Row],[Cliente]],'BASE DE CLIENTES'!A:C,3,0)</f>
        <v>DF</v>
      </c>
      <c r="E6234" s="1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3">
        <f>Tabela1[[#This Row],[MARGEM BRUTA]]/Tabela1[[#This Row],[Valor total]]</f>
        <v>0.26336363636363636</v>
      </c>
      <c r="K6234" s="1" t="str">
        <f>VLOOKUP(Tabela1[[#This Row],[Cliente]],'BASE DE CLIENTES'!A:D,4,0)</f>
        <v>EMPRESA SEM MAQUINA</v>
      </c>
      <c r="L6234" s="1" t="str">
        <f>VLOOKUP(Tabela1[[#This Row],[Cliente]],'BASE DE CLIENTES'!A:E,5,0)</f>
        <v>RECANTO DAS EMAS</v>
      </c>
    </row>
    <row r="6235" spans="2:12" x14ac:dyDescent="0.3">
      <c r="B6235" t="s">
        <v>23</v>
      </c>
      <c r="C6235" s="1" t="str">
        <f>VLOOKUP(Tabela1[[#This Row],[Cliente]],'BASE DE CLIENTES'!A:E,2,0)</f>
        <v>Brasília</v>
      </c>
      <c r="D6235" s="1" t="str">
        <f>VLOOKUP(Tabela1[[#This Row],[Cliente]],'BASE DE CLIENTES'!A:C,3,0)</f>
        <v>DF</v>
      </c>
      <c r="E6235" s="1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3">
        <f>Tabela1[[#This Row],[MARGEM BRUTA]]/Tabela1[[#This Row],[Valor total]]</f>
        <v>0.30909090909090908</v>
      </c>
      <c r="K6235" s="1" t="str">
        <f>VLOOKUP(Tabela1[[#This Row],[Cliente]],'BASE DE CLIENTES'!A:D,4,0)</f>
        <v>EMPRESA SEM MAQUINA</v>
      </c>
      <c r="L6235" s="1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1" t="str">
        <f>VLOOKUP(Tabela1[[#This Row],[Cliente]],'BASE DE CLIENTES'!A:E,2,0)</f>
        <v>Brasília</v>
      </c>
      <c r="D6236" s="1" t="str">
        <f>VLOOKUP(Tabela1[[#This Row],[Cliente]],'BASE DE CLIENTES'!A:C,3,0)</f>
        <v>DF</v>
      </c>
      <c r="E6236" s="1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3">
        <f>Tabela1[[#This Row],[MARGEM BRUTA]]/Tabela1[[#This Row],[Valor total]]</f>
        <v>0.38191208791208786</v>
      </c>
      <c r="K6236" s="1" t="str">
        <f>VLOOKUP(Tabela1[[#This Row],[Cliente]],'BASE DE CLIENTES'!A:D,4,0)</f>
        <v>EMPRESA COM MAQUINA</v>
      </c>
      <c r="L6236" s="1" t="str">
        <f>VLOOKUP(Tabela1[[#This Row],[Cliente]],'BASE DE CLIENTES'!A:E,5,0)</f>
        <v>26 DE SETEMBRO</v>
      </c>
    </row>
    <row r="6237" spans="2:12" x14ac:dyDescent="0.3">
      <c r="B6237" t="s">
        <v>120</v>
      </c>
      <c r="C6237" s="1" t="str">
        <f>VLOOKUP(Tabela1[[#This Row],[Cliente]],'BASE DE CLIENTES'!A:E,2,0)</f>
        <v>Brasília</v>
      </c>
      <c r="D6237" s="1" t="str">
        <f>VLOOKUP(Tabela1[[#This Row],[Cliente]],'BASE DE CLIENTES'!A:C,3,0)</f>
        <v>DF</v>
      </c>
      <c r="E6237" s="1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3">
        <f>Tabela1[[#This Row],[MARGEM BRUTA]]/Tabela1[[#This Row],[Valor total]]</f>
        <v>0.37292571428571425</v>
      </c>
      <c r="K6237" s="1" t="str">
        <f>VLOOKUP(Tabela1[[#This Row],[Cliente]],'BASE DE CLIENTES'!A:D,4,0)</f>
        <v>EMPRESA SEM MAQUINA</v>
      </c>
      <c r="L6237" s="1" t="str">
        <f>VLOOKUP(Tabela1[[#This Row],[Cliente]],'BASE DE CLIENTES'!A:E,5,0)</f>
        <v>SAMAMBAIA</v>
      </c>
    </row>
    <row r="6238" spans="2:12" x14ac:dyDescent="0.3">
      <c r="B6238" t="s">
        <v>775</v>
      </c>
      <c r="C6238" s="1" t="str">
        <f>VLOOKUP(Tabela1[[#This Row],[Cliente]],'BASE DE CLIENTES'!A:E,2,0)</f>
        <v>Brasília</v>
      </c>
      <c r="D6238" s="1" t="str">
        <f>VLOOKUP(Tabela1[[#This Row],[Cliente]],'BASE DE CLIENTES'!A:C,3,0)</f>
        <v>DF</v>
      </c>
      <c r="E6238" s="1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3">
        <f>Tabela1[[#This Row],[MARGEM BRUTA]]/Tabela1[[#This Row],[Valor total]]</f>
        <v>0.35538461538461541</v>
      </c>
      <c r="K6238" s="1" t="str">
        <f>VLOOKUP(Tabela1[[#This Row],[Cliente]],'BASE DE CLIENTES'!A:D,4,0)</f>
        <v>CLIENTE NOVO S/ IDENT.</v>
      </c>
      <c r="L6238" s="1" t="str">
        <f>VLOOKUP(Tabela1[[#This Row],[Cliente]],'BASE DE CLIENTES'!A:E,5,0)</f>
        <v>Brasília</v>
      </c>
    </row>
    <row r="6239" spans="2:12" x14ac:dyDescent="0.3">
      <c r="B6239" t="s">
        <v>195</v>
      </c>
      <c r="C6239" s="1" t="str">
        <f>VLOOKUP(Tabela1[[#This Row],[Cliente]],'BASE DE CLIENTES'!A:E,2,0)</f>
        <v>Goiânia</v>
      </c>
      <c r="D6239" s="1" t="str">
        <f>VLOOKUP(Tabela1[[#This Row],[Cliente]],'BASE DE CLIENTES'!A:C,3,0)</f>
        <v>GO</v>
      </c>
      <c r="E6239" s="1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3">
        <f>Tabela1[[#This Row],[MARGEM BRUTA]]/Tabela1[[#This Row],[Valor total]]</f>
        <v>0.31494626865671643</v>
      </c>
      <c r="K6239" s="1" t="str">
        <f>VLOOKUP(Tabela1[[#This Row],[Cliente]],'BASE DE CLIENTES'!A:D,4,0)</f>
        <v>EMPRESA COM MAQUINA</v>
      </c>
      <c r="L6239" s="1" t="str">
        <f>VLOOKUP(Tabela1[[#This Row],[Cliente]],'BASE DE CLIENTES'!A:E,5,0)</f>
        <v>Goiânia</v>
      </c>
    </row>
    <row r="6240" spans="2:12" x14ac:dyDescent="0.3">
      <c r="B6240" t="s">
        <v>55</v>
      </c>
      <c r="C6240" s="1" t="str">
        <f>VLOOKUP(Tabela1[[#This Row],[Cliente]],'BASE DE CLIENTES'!A:E,2,0)</f>
        <v>Brasília</v>
      </c>
      <c r="D6240" s="1" t="str">
        <f>VLOOKUP(Tabela1[[#This Row],[Cliente]],'BASE DE CLIENTES'!A:C,3,0)</f>
        <v>DF</v>
      </c>
      <c r="E6240" s="1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3">
        <f>Tabela1[[#This Row],[MARGEM BRUTA]]/Tabela1[[#This Row],[Valor total]]</f>
        <v>0.7340000000000001</v>
      </c>
      <c r="K6240" s="1" t="str">
        <f>VLOOKUP(Tabela1[[#This Row],[Cliente]],'BASE DE CLIENTES'!A:D,4,0)</f>
        <v>EMPRESA SEM MAQUINA</v>
      </c>
      <c r="L6240" s="1" t="str">
        <f>VLOOKUP(Tabela1[[#This Row],[Cliente]],'BASE DE CLIENTES'!A:E,5,0)</f>
        <v>RECANTO DAS EMAS</v>
      </c>
    </row>
    <row r="6241" spans="2:12" x14ac:dyDescent="0.3">
      <c r="B6241" t="s">
        <v>55</v>
      </c>
      <c r="C6241" s="1" t="str">
        <f>VLOOKUP(Tabela1[[#This Row],[Cliente]],'BASE DE CLIENTES'!A:E,2,0)</f>
        <v>Brasília</v>
      </c>
      <c r="D6241" s="1" t="str">
        <f>VLOOKUP(Tabela1[[#This Row],[Cliente]],'BASE DE CLIENTES'!A:C,3,0)</f>
        <v>DF</v>
      </c>
      <c r="E6241" s="1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3">
        <f>Tabela1[[#This Row],[MARGEM BRUTA]]/Tabela1[[#This Row],[Valor total]]</f>
        <v>0.50058208434994778</v>
      </c>
      <c r="K6241" s="1" t="str">
        <f>VLOOKUP(Tabela1[[#This Row],[Cliente]],'BASE DE CLIENTES'!A:D,4,0)</f>
        <v>EMPRESA SEM MAQUINA</v>
      </c>
      <c r="L6241" s="1" t="str">
        <f>VLOOKUP(Tabela1[[#This Row],[Cliente]],'BASE DE CLIENTES'!A:E,5,0)</f>
        <v>RECANTO DAS EMAS</v>
      </c>
    </row>
    <row r="6242" spans="2:12" x14ac:dyDescent="0.3">
      <c r="B6242" t="s">
        <v>111</v>
      </c>
      <c r="C6242" s="1" t="str">
        <f>VLOOKUP(Tabela1[[#This Row],[Cliente]],'BASE DE CLIENTES'!A:E,2,0)</f>
        <v>Brasília</v>
      </c>
      <c r="D6242" s="1" t="str">
        <f>VLOOKUP(Tabela1[[#This Row],[Cliente]],'BASE DE CLIENTES'!A:C,3,0)</f>
        <v>DF</v>
      </c>
      <c r="E6242" s="1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3">
        <f>Tabela1[[#This Row],[MARGEM BRUTA]]/Tabela1[[#This Row],[Valor total]]</f>
        <v>0.39511627906976748</v>
      </c>
      <c r="K6242" s="1" t="str">
        <f>VLOOKUP(Tabela1[[#This Row],[Cliente]],'BASE DE CLIENTES'!A:D,4,0)</f>
        <v>EMPRESA SEM MAQUINA</v>
      </c>
      <c r="L6242" s="1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1" t="str">
        <f>VLOOKUP(Tabela1[[#This Row],[Cliente]],'BASE DE CLIENTES'!A:E,2,0)</f>
        <v>Águas Lindas de Goiás</v>
      </c>
      <c r="D6243" s="1" t="str">
        <f>VLOOKUP(Tabela1[[#This Row],[Cliente]],'BASE DE CLIENTES'!A:C,3,0)</f>
        <v>GO</v>
      </c>
      <c r="E6243" s="1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3">
        <f>Tabela1[[#This Row],[MARGEM BRUTA]]/Tabela1[[#This Row],[Valor total]]</f>
        <v>0.41216730038022814</v>
      </c>
      <c r="K6243" s="1" t="str">
        <f>VLOOKUP(Tabela1[[#This Row],[Cliente]],'BASE DE CLIENTES'!A:D,4,0)</f>
        <v>SERRALHEIRO</v>
      </c>
      <c r="L6243" s="1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1" t="str">
        <f>VLOOKUP(Tabela1[[#This Row],[Cliente]],'BASE DE CLIENTES'!A:E,2,0)</f>
        <v>Brasília</v>
      </c>
      <c r="D6244" s="1" t="str">
        <f>VLOOKUP(Tabela1[[#This Row],[Cliente]],'BASE DE CLIENTES'!A:C,3,0)</f>
        <v>DF</v>
      </c>
      <c r="E6244" s="1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3">
        <f>Tabela1[[#This Row],[MARGEM BRUTA]]/Tabela1[[#This Row],[Valor total]]</f>
        <v>0.27894736842105261</v>
      </c>
      <c r="K6244" s="1" t="str">
        <f>VLOOKUP(Tabela1[[#This Row],[Cliente]],'BASE DE CLIENTES'!A:D,4,0)</f>
        <v>EMPRESA SEM MAQUINA</v>
      </c>
      <c r="L6244" s="1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1" t="str">
        <f>VLOOKUP(Tabela1[[#This Row],[Cliente]],'BASE DE CLIENTES'!A:E,2,0)</f>
        <v>Brasília</v>
      </c>
      <c r="D6245" s="1" t="str">
        <f>VLOOKUP(Tabela1[[#This Row],[Cliente]],'BASE DE CLIENTES'!A:C,3,0)</f>
        <v>DF</v>
      </c>
      <c r="E6245" s="1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3">
        <f>Tabela1[[#This Row],[MARGEM BRUTA]]/Tabela1[[#This Row],[Valor total]]</f>
        <v>0.27438167938931302</v>
      </c>
      <c r="K6245" s="1" t="str">
        <f>VLOOKUP(Tabela1[[#This Row],[Cliente]],'BASE DE CLIENTES'!A:D,4,0)</f>
        <v>EMPRESA SEM MAQUINA</v>
      </c>
      <c r="L6245" s="1" t="str">
        <f>VLOOKUP(Tabela1[[#This Row],[Cliente]],'BASE DE CLIENTES'!A:E,5,0)</f>
        <v>SAMAMBAIA</v>
      </c>
    </row>
    <row r="6246" spans="2:12" x14ac:dyDescent="0.3">
      <c r="B6246" t="s">
        <v>96</v>
      </c>
      <c r="C6246" s="1" t="str">
        <f>VLOOKUP(Tabela1[[#This Row],[Cliente]],'BASE DE CLIENTES'!A:E,2,0)</f>
        <v>Brasília</v>
      </c>
      <c r="D6246" s="1" t="str">
        <f>VLOOKUP(Tabela1[[#This Row],[Cliente]],'BASE DE CLIENTES'!A:C,3,0)</f>
        <v>DF</v>
      </c>
      <c r="E6246" s="1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3">
        <f>Tabela1[[#This Row],[MARGEM BRUTA]]/Tabela1[[#This Row],[Valor total]]</f>
        <v>0.38211382113821141</v>
      </c>
      <c r="K6246" s="1" t="str">
        <f>VLOOKUP(Tabela1[[#This Row],[Cliente]],'BASE DE CLIENTES'!A:D,4,0)</f>
        <v>EMPRESA SEM MAQUINA</v>
      </c>
      <c r="L6246" s="1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1" t="str">
        <f>VLOOKUP(Tabela1[[#This Row],[Cliente]],'BASE DE CLIENTES'!A:E,2,0)</f>
        <v>Brasília</v>
      </c>
      <c r="D6247" s="1" t="str">
        <f>VLOOKUP(Tabela1[[#This Row],[Cliente]],'BASE DE CLIENTES'!A:C,3,0)</f>
        <v>DF</v>
      </c>
      <c r="E6247" s="1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3">
        <f>Tabela1[[#This Row],[MARGEM BRUTA]]/Tabela1[[#This Row],[Valor total]]</f>
        <v>0.38047058823529412</v>
      </c>
      <c r="K6247" s="1" t="str">
        <f>VLOOKUP(Tabela1[[#This Row],[Cliente]],'BASE DE CLIENTES'!A:D,4,0)</f>
        <v>SERRALHEIRO</v>
      </c>
      <c r="L6247" s="1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1" t="str">
        <f>VLOOKUP(Tabela1[[#This Row],[Cliente]],'BASE DE CLIENTES'!A:E,2,0)</f>
        <v>Brasília</v>
      </c>
      <c r="D6248" s="1" t="str">
        <f>VLOOKUP(Tabela1[[#This Row],[Cliente]],'BASE DE CLIENTES'!A:C,3,0)</f>
        <v>DF</v>
      </c>
      <c r="E6248" s="1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3">
        <f>Tabela1[[#This Row],[MARGEM BRUTA]]/Tabela1[[#This Row],[Valor total]]</f>
        <v>0.41085271317829458</v>
      </c>
      <c r="K6248" s="1" t="str">
        <f>VLOOKUP(Tabela1[[#This Row],[Cliente]],'BASE DE CLIENTES'!A:D,4,0)</f>
        <v>SERRALHEIRO</v>
      </c>
      <c r="L6248" s="1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1" t="str">
        <f>VLOOKUP(Tabela1[[#This Row],[Cliente]],'BASE DE CLIENTES'!A:E,2,0)</f>
        <v>Valparaíso de Goiás</v>
      </c>
      <c r="D6249" s="1" t="str">
        <f>VLOOKUP(Tabela1[[#This Row],[Cliente]],'BASE DE CLIENTES'!A:C,3,0)</f>
        <v>GO</v>
      </c>
      <c r="E6249" s="1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3">
        <f>Tabela1[[#This Row],[MARGEM BRUTA]]/Tabela1[[#This Row],[Valor total]]</f>
        <v>0.40277777777777779</v>
      </c>
      <c r="K6249" s="1" t="str">
        <f>VLOOKUP(Tabela1[[#This Row],[Cliente]],'BASE DE CLIENTES'!A:D,4,0)</f>
        <v>EMPRESA COM MAQUINA</v>
      </c>
      <c r="L6249" s="1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1" t="str">
        <f>VLOOKUP(Tabela1[[#This Row],[Cliente]],'BASE DE CLIENTES'!A:E,2,0)</f>
        <v>Brasília</v>
      </c>
      <c r="D6250" s="1" t="str">
        <f>VLOOKUP(Tabela1[[#This Row],[Cliente]],'BASE DE CLIENTES'!A:C,3,0)</f>
        <v>DF</v>
      </c>
      <c r="E6250" s="1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3">
        <f>Tabela1[[#This Row],[MARGEM BRUTA]]/Tabela1[[#This Row],[Valor total]]</f>
        <v>0.47894084507042256</v>
      </c>
      <c r="K6250" s="1" t="str">
        <f>VLOOKUP(Tabela1[[#This Row],[Cliente]],'BASE DE CLIENTES'!A:D,4,0)</f>
        <v>SERRALHEIRO</v>
      </c>
      <c r="L6250" s="1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1" t="str">
        <f>VLOOKUP(Tabela1[[#This Row],[Cliente]],'BASE DE CLIENTES'!A:E,2,0)</f>
        <v>Valparaíso de Goiás</v>
      </c>
      <c r="D6251" s="1" t="str">
        <f>VLOOKUP(Tabela1[[#This Row],[Cliente]],'BASE DE CLIENTES'!A:C,3,0)</f>
        <v>GO</v>
      </c>
      <c r="E6251" s="1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3">
        <f>Tabela1[[#This Row],[MARGEM BRUTA]]/Tabela1[[#This Row],[Valor total]]</f>
        <v>0.43242173350582147</v>
      </c>
      <c r="K6251" s="1" t="str">
        <f>VLOOKUP(Tabela1[[#This Row],[Cliente]],'BASE DE CLIENTES'!A:D,4,0)</f>
        <v>EMPRESA COM MAQUINA</v>
      </c>
      <c r="L6251" s="1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1" t="str">
        <f>VLOOKUP(Tabela1[[#This Row],[Cliente]],'BASE DE CLIENTES'!A:E,2,0)</f>
        <v>Brasília</v>
      </c>
      <c r="D6252" s="1" t="str">
        <f>VLOOKUP(Tabela1[[#This Row],[Cliente]],'BASE DE CLIENTES'!A:C,3,0)</f>
        <v>DF</v>
      </c>
      <c r="E6252" s="1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3">
        <f>Tabela1[[#This Row],[MARGEM BRUTA]]/Tabela1[[#This Row],[Valor total]]</f>
        <v>0.66361290322580646</v>
      </c>
      <c r="K6252" s="1" t="str">
        <f>VLOOKUP(Tabela1[[#This Row],[Cliente]],'BASE DE CLIENTES'!A:D,4,0)</f>
        <v>CLIENTE NOVO S/ IDENT.</v>
      </c>
      <c r="L6252" s="1" t="str">
        <f>VLOOKUP(Tabela1[[#This Row],[Cliente]],'BASE DE CLIENTES'!A:E,5,0)</f>
        <v>BRAZLÂNDIA</v>
      </c>
    </row>
    <row r="6253" spans="2:12" x14ac:dyDescent="0.3">
      <c r="B6253" t="s">
        <v>88</v>
      </c>
      <c r="C6253" s="1" t="str">
        <f>VLOOKUP(Tabela1[[#This Row],[Cliente]],'BASE DE CLIENTES'!A:E,2,0)</f>
        <v>Brasília</v>
      </c>
      <c r="D6253" s="1" t="str">
        <f>VLOOKUP(Tabela1[[#This Row],[Cliente]],'BASE DE CLIENTES'!A:C,3,0)</f>
        <v>DF</v>
      </c>
      <c r="E6253" s="1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3">
        <f>Tabela1[[#This Row],[MARGEM BRUTA]]/Tabela1[[#This Row],[Valor total]]</f>
        <v>0.42359249329758714</v>
      </c>
      <c r="K6253" s="1" t="str">
        <f>VLOOKUP(Tabela1[[#This Row],[Cliente]],'BASE DE CLIENTES'!A:D,4,0)</f>
        <v>SERRALHEIRO</v>
      </c>
      <c r="L6253" s="1" t="str">
        <f>VLOOKUP(Tabela1[[#This Row],[Cliente]],'BASE DE CLIENTES'!A:E,5,0)</f>
        <v>RECANTO DAS EMAS</v>
      </c>
    </row>
    <row r="6254" spans="2:12" x14ac:dyDescent="0.3">
      <c r="B6254" t="s">
        <v>117</v>
      </c>
      <c r="C6254" s="1" t="str">
        <f>VLOOKUP(Tabela1[[#This Row],[Cliente]],'BASE DE CLIENTES'!A:E,2,0)</f>
        <v>Brasília</v>
      </c>
      <c r="D6254" s="1" t="str">
        <f>VLOOKUP(Tabela1[[#This Row],[Cliente]],'BASE DE CLIENTES'!A:C,3,0)</f>
        <v>DF</v>
      </c>
      <c r="E6254" s="1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3">
        <f>Tabela1[[#This Row],[MARGEM BRUTA]]/Tabela1[[#This Row],[Valor total]]</f>
        <v>0.58311111111111114</v>
      </c>
      <c r="K6254" s="1" t="str">
        <f>VLOOKUP(Tabela1[[#This Row],[Cliente]],'BASE DE CLIENTES'!A:D,4,0)</f>
        <v>EMPRESA COM MAQUINA</v>
      </c>
      <c r="L6254" s="1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1" t="str">
        <f>VLOOKUP(Tabela1[[#This Row],[Cliente]],'BASE DE CLIENTES'!A:E,2,0)</f>
        <v>Brasília</v>
      </c>
      <c r="D6255" s="1" t="str">
        <f>VLOOKUP(Tabela1[[#This Row],[Cliente]],'BASE DE CLIENTES'!A:C,3,0)</f>
        <v>DF</v>
      </c>
      <c r="E6255" s="1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3">
        <f>Tabela1[[#This Row],[MARGEM BRUTA]]/Tabela1[[#This Row],[Valor total]]</f>
        <v>0.38</v>
      </c>
      <c r="K6255" s="1" t="str">
        <f>VLOOKUP(Tabela1[[#This Row],[Cliente]],'BASE DE CLIENTES'!A:D,4,0)</f>
        <v>EMPRESA COM MAQUINA</v>
      </c>
      <c r="L6255" s="1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1" t="str">
        <f>VLOOKUP(Tabela1[[#This Row],[Cliente]],'BASE DE CLIENTES'!A:E,2,0)</f>
        <v>Brasília</v>
      </c>
      <c r="D6256" s="1" t="str">
        <f>VLOOKUP(Tabela1[[#This Row],[Cliente]],'BASE DE CLIENTES'!A:C,3,0)</f>
        <v>DF</v>
      </c>
      <c r="E6256" s="1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3">
        <f>Tabela1[[#This Row],[MARGEM BRUTA]]/Tabela1[[#This Row],[Valor total]]</f>
        <v>0.38174666666666668</v>
      </c>
      <c r="K6256" s="1" t="str">
        <f>VLOOKUP(Tabela1[[#This Row],[Cliente]],'BASE DE CLIENTES'!A:D,4,0)</f>
        <v>EMPRESA COM MAQUINA</v>
      </c>
      <c r="L6256" s="1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1" t="str">
        <f>VLOOKUP(Tabela1[[#This Row],[Cliente]],'BASE DE CLIENTES'!A:E,2,0)</f>
        <v>Brasília</v>
      </c>
      <c r="D6257" s="1" t="str">
        <f>VLOOKUP(Tabela1[[#This Row],[Cliente]],'BASE DE CLIENTES'!A:C,3,0)</f>
        <v>DF</v>
      </c>
      <c r="E6257" s="1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3">
        <f>Tabela1[[#This Row],[MARGEM BRUTA]]/Tabela1[[#This Row],[Valor total]]</f>
        <v>0.49333333333333335</v>
      </c>
      <c r="K6257" s="1" t="str">
        <f>VLOOKUP(Tabela1[[#This Row],[Cliente]],'BASE DE CLIENTES'!A:D,4,0)</f>
        <v>CLIENTE NOVO S/ IDENT.</v>
      </c>
      <c r="L6257" s="1" t="str">
        <f>VLOOKUP(Tabela1[[#This Row],[Cliente]],'BASE DE CLIENTES'!A:E,5,0)</f>
        <v>TAGUATINGA</v>
      </c>
    </row>
    <row r="6258" spans="2:12" x14ac:dyDescent="0.3">
      <c r="B6258" t="s">
        <v>112</v>
      </c>
      <c r="C6258" s="1" t="str">
        <f>VLOOKUP(Tabela1[[#This Row],[Cliente]],'BASE DE CLIENTES'!A:E,2,0)</f>
        <v>Brasília</v>
      </c>
      <c r="D6258" s="1" t="str">
        <f>VLOOKUP(Tabela1[[#This Row],[Cliente]],'BASE DE CLIENTES'!A:C,3,0)</f>
        <v>DF</v>
      </c>
      <c r="E6258" s="1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3">
        <f>Tabela1[[#This Row],[MARGEM BRUTA]]/Tabela1[[#This Row],[Valor total]]</f>
        <v>0.42309178743961351</v>
      </c>
      <c r="K6258" s="1" t="str">
        <f>VLOOKUP(Tabela1[[#This Row],[Cliente]],'BASE DE CLIENTES'!A:D,4,0)</f>
        <v>SERRALHEIRO</v>
      </c>
      <c r="L6258" s="1" t="str">
        <f>VLOOKUP(Tabela1[[#This Row],[Cliente]],'BASE DE CLIENTES'!A:E,5,0)</f>
        <v>RIACHO FUNDO I</v>
      </c>
    </row>
    <row r="6259" spans="2:12" x14ac:dyDescent="0.3">
      <c r="B6259" t="s">
        <v>276</v>
      </c>
      <c r="C6259" s="1" t="str">
        <f>VLOOKUP(Tabela1[[#This Row],[Cliente]],'BASE DE CLIENTES'!A:E,2,0)</f>
        <v>Parauapebas</v>
      </c>
      <c r="D6259" s="1" t="str">
        <f>VLOOKUP(Tabela1[[#This Row],[Cliente]],'BASE DE CLIENTES'!A:C,3,0)</f>
        <v>PA</v>
      </c>
      <c r="E6259" s="1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3">
        <f>Tabela1[[#This Row],[MARGEM BRUTA]]/Tabela1[[#This Row],[Valor total]]</f>
        <v>0.37691005692599627</v>
      </c>
      <c r="K6259" s="1" t="str">
        <f>VLOOKUP(Tabela1[[#This Row],[Cliente]],'BASE DE CLIENTES'!A:D,4,0)</f>
        <v>EMPRESA COM MAQUINA</v>
      </c>
      <c r="L6259" s="1" t="str">
        <f>VLOOKUP(Tabela1[[#This Row],[Cliente]],'BASE DE CLIENTES'!A:E,5,0)</f>
        <v>Parauapebas</v>
      </c>
    </row>
    <row r="6260" spans="2:12" x14ac:dyDescent="0.3">
      <c r="B6260" t="s">
        <v>97</v>
      </c>
      <c r="C6260" s="1" t="str">
        <f>VLOOKUP(Tabela1[[#This Row],[Cliente]],'BASE DE CLIENTES'!A:E,2,0)</f>
        <v>Brasília</v>
      </c>
      <c r="D6260" s="1" t="str">
        <f>VLOOKUP(Tabela1[[#This Row],[Cliente]],'BASE DE CLIENTES'!A:C,3,0)</f>
        <v>DF</v>
      </c>
      <c r="E6260" s="1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3">
        <f>Tabela1[[#This Row],[MARGEM BRUTA]]/Tabela1[[#This Row],[Valor total]]</f>
        <v>0.31221383647798745</v>
      </c>
      <c r="K6260" s="1" t="str">
        <f>VLOOKUP(Tabela1[[#This Row],[Cliente]],'BASE DE CLIENTES'!A:D,4,0)</f>
        <v>SERRALHEIRO</v>
      </c>
      <c r="L6260" s="1" t="str">
        <f>VLOOKUP(Tabela1[[#This Row],[Cliente]],'BASE DE CLIENTES'!A:E,5,0)</f>
        <v>CEILANDIA NORTE</v>
      </c>
    </row>
    <row r="6261" spans="2:12" x14ac:dyDescent="0.3">
      <c r="B6261" t="s">
        <v>161</v>
      </c>
      <c r="C6261" s="1" t="str">
        <f>VLOOKUP(Tabela1[[#This Row],[Cliente]],'BASE DE CLIENTES'!A:E,2,0)</f>
        <v>Brasília</v>
      </c>
      <c r="D6261" s="1" t="str">
        <f>VLOOKUP(Tabela1[[#This Row],[Cliente]],'BASE DE CLIENTES'!A:C,3,0)</f>
        <v>DF</v>
      </c>
      <c r="E6261" s="1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3">
        <f>Tabela1[[#This Row],[MARGEM BRUTA]]/Tabela1[[#This Row],[Valor total]]</f>
        <v>0.32788307692307694</v>
      </c>
      <c r="K6261" s="1" t="str">
        <f>VLOOKUP(Tabela1[[#This Row],[Cliente]],'BASE DE CLIENTES'!A:D,4,0)</f>
        <v>EMPRESA COM MAQUINA</v>
      </c>
      <c r="L6261" s="1" t="str">
        <f>VLOOKUP(Tabela1[[#This Row],[Cliente]],'BASE DE CLIENTES'!A:E,5,0)</f>
        <v>RIACHO FUNDO II</v>
      </c>
    </row>
    <row r="6262" spans="2:12" x14ac:dyDescent="0.3">
      <c r="B6262" t="s">
        <v>1223</v>
      </c>
      <c r="C6262" s="1" t="str">
        <f>VLOOKUP(Tabela1[[#This Row],[Cliente]],'BASE DE CLIENTES'!A:E,2,0)</f>
        <v>MERCADO LIVRE</v>
      </c>
      <c r="D6262" s="1" t="str">
        <f>VLOOKUP(Tabela1[[#This Row],[Cliente]],'BASE DE CLIENTES'!A:C,3,0)</f>
        <v>MERCADO LIVRE</v>
      </c>
      <c r="E6262" s="1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3">
        <f>Tabela1[[#This Row],[MARGEM BRUTA]]/Tabela1[[#This Row],[Valor total]]</f>
        <v>0.74371584699453552</v>
      </c>
      <c r="K6262" s="1" t="str">
        <f>VLOOKUP(Tabela1[[#This Row],[Cliente]],'BASE DE CLIENTES'!A:D,4,0)</f>
        <v>OUTROS RAMOS</v>
      </c>
      <c r="L6262" s="1" t="str">
        <f>VLOOKUP(Tabela1[[#This Row],[Cliente]],'BASE DE CLIENTES'!A:E,5,0)</f>
        <v>MERCADO LIVRE</v>
      </c>
    </row>
    <row r="6263" spans="2:12" x14ac:dyDescent="0.3">
      <c r="B6263" t="s">
        <v>262</v>
      </c>
      <c r="C6263" s="1" t="str">
        <f>VLOOKUP(Tabela1[[#This Row],[Cliente]],'BASE DE CLIENTES'!A:E,2,0)</f>
        <v>Brasília</v>
      </c>
      <c r="D6263" s="1" t="str">
        <f>VLOOKUP(Tabela1[[#This Row],[Cliente]],'BASE DE CLIENTES'!A:C,3,0)</f>
        <v>DF</v>
      </c>
      <c r="E6263" s="1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3">
        <f>Tabela1[[#This Row],[MARGEM BRUTA]]/Tabela1[[#This Row],[Valor total]]</f>
        <v>0.71860000000000002</v>
      </c>
      <c r="K6263" s="1" t="str">
        <f>VLOOKUP(Tabela1[[#This Row],[Cliente]],'BASE DE CLIENTES'!A:D,4,0)</f>
        <v>SERRALHEIRO</v>
      </c>
      <c r="L6263" s="1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1" t="str">
        <f>VLOOKUP(Tabela1[[#This Row],[Cliente]],'BASE DE CLIENTES'!A:E,2,0)</f>
        <v>Brasília</v>
      </c>
      <c r="D6264" s="1" t="str">
        <f>VLOOKUP(Tabela1[[#This Row],[Cliente]],'BASE DE CLIENTES'!A:C,3,0)</f>
        <v>DF</v>
      </c>
      <c r="E6264" s="1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3">
        <f>Tabela1[[#This Row],[MARGEM BRUTA]]/Tabela1[[#This Row],[Valor total]]</f>
        <v>0.36542976356050066</v>
      </c>
      <c r="K6264" s="1" t="str">
        <f>VLOOKUP(Tabela1[[#This Row],[Cliente]],'BASE DE CLIENTES'!A:D,4,0)</f>
        <v>EMPRESA COM MAQUINA</v>
      </c>
      <c r="L6264" s="1" t="str">
        <f>VLOOKUP(Tabela1[[#This Row],[Cliente]],'BASE DE CLIENTES'!A:E,5,0)</f>
        <v>TAGUATINGA</v>
      </c>
    </row>
    <row r="6265" spans="2:12" x14ac:dyDescent="0.3">
      <c r="B6265" t="s">
        <v>27</v>
      </c>
      <c r="C6265" s="1" t="str">
        <f>VLOOKUP(Tabela1[[#This Row],[Cliente]],'BASE DE CLIENTES'!A:E,2,0)</f>
        <v>Brasília</v>
      </c>
      <c r="D6265" s="1" t="str">
        <f>VLOOKUP(Tabela1[[#This Row],[Cliente]],'BASE DE CLIENTES'!A:C,3,0)</f>
        <v>DF</v>
      </c>
      <c r="E6265" s="1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3">
        <f>Tabela1[[#This Row],[MARGEM BRUTA]]/Tabela1[[#This Row],[Valor total]]</f>
        <v>0.38211382113821141</v>
      </c>
      <c r="K6265" s="1" t="str">
        <f>VLOOKUP(Tabela1[[#This Row],[Cliente]],'BASE DE CLIENTES'!A:D,4,0)</f>
        <v>EMPRESA SEM MAQUINA</v>
      </c>
      <c r="L6265" s="1" t="str">
        <f>VLOOKUP(Tabela1[[#This Row],[Cliente]],'BASE DE CLIENTES'!A:E,5,0)</f>
        <v>RECANTO DAS EMAS</v>
      </c>
    </row>
    <row r="6266" spans="2:12" x14ac:dyDescent="0.3">
      <c r="B6266" t="s">
        <v>117</v>
      </c>
      <c r="C6266" s="1" t="str">
        <f>VLOOKUP(Tabela1[[#This Row],[Cliente]],'BASE DE CLIENTES'!A:E,2,0)</f>
        <v>Brasília</v>
      </c>
      <c r="D6266" s="1" t="str">
        <f>VLOOKUP(Tabela1[[#This Row],[Cliente]],'BASE DE CLIENTES'!A:C,3,0)</f>
        <v>DF</v>
      </c>
      <c r="E6266" s="1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3">
        <f>Tabela1[[#This Row],[MARGEM BRUTA]]/Tabela1[[#This Row],[Valor total]]</f>
        <v>0.30760500000000002</v>
      </c>
      <c r="K6266" s="1" t="str">
        <f>VLOOKUP(Tabela1[[#This Row],[Cliente]],'BASE DE CLIENTES'!A:D,4,0)</f>
        <v>EMPRESA COM MAQUINA</v>
      </c>
      <c r="L6266" s="1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1" t="str">
        <f>VLOOKUP(Tabela1[[#This Row],[Cliente]],'BASE DE CLIENTES'!A:E,2,0)</f>
        <v>Castanhal</v>
      </c>
      <c r="D6267" s="1" t="str">
        <f>VLOOKUP(Tabela1[[#This Row],[Cliente]],'BASE DE CLIENTES'!A:C,3,0)</f>
        <v>PA</v>
      </c>
      <c r="E6267" s="1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3">
        <f>Tabela1[[#This Row],[MARGEM BRUTA]]/Tabela1[[#This Row],[Valor total]]</f>
        <v>0.36568220255653883</v>
      </c>
      <c r="K6267" s="1" t="str">
        <f>VLOOKUP(Tabela1[[#This Row],[Cliente]],'BASE DE CLIENTES'!A:D,4,0)</f>
        <v>EMPRESA COM MAQUINA</v>
      </c>
      <c r="L6267" s="1" t="str">
        <f>VLOOKUP(Tabela1[[#This Row],[Cliente]],'BASE DE CLIENTES'!A:E,5,0)</f>
        <v>Castanhal</v>
      </c>
    </row>
    <row r="6268" spans="2:12" x14ac:dyDescent="0.3">
      <c r="B6268" t="s">
        <v>23</v>
      </c>
      <c r="C6268" s="1" t="str">
        <f>VLOOKUP(Tabela1[[#This Row],[Cliente]],'BASE DE CLIENTES'!A:E,2,0)</f>
        <v>Brasília</v>
      </c>
      <c r="D6268" s="1" t="str">
        <f>VLOOKUP(Tabela1[[#This Row],[Cliente]],'BASE DE CLIENTES'!A:C,3,0)</f>
        <v>DF</v>
      </c>
      <c r="E6268" s="1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3">
        <f>Tabela1[[#This Row],[MARGEM BRUTA]]/Tabela1[[#This Row],[Valor total]]</f>
        <v>0.35359701492537315</v>
      </c>
      <c r="K6268" s="1" t="str">
        <f>VLOOKUP(Tabela1[[#This Row],[Cliente]],'BASE DE CLIENTES'!A:D,4,0)</f>
        <v>EMPRESA SEM MAQUINA</v>
      </c>
      <c r="L6268" s="1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1" t="str">
        <f>VLOOKUP(Tabela1[[#This Row],[Cliente]],'BASE DE CLIENTES'!A:E,2,0)</f>
        <v>Brasília</v>
      </c>
      <c r="D6269" s="1" t="str">
        <f>VLOOKUP(Tabela1[[#This Row],[Cliente]],'BASE DE CLIENTES'!A:C,3,0)</f>
        <v>DF</v>
      </c>
      <c r="E6269" s="1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3">
        <f>Tabela1[[#This Row],[MARGEM BRUTA]]/Tabela1[[#This Row],[Valor total]]</f>
        <v>0.29256395348837211</v>
      </c>
      <c r="K6269" s="1" t="str">
        <f>VLOOKUP(Tabela1[[#This Row],[Cliente]],'BASE DE CLIENTES'!A:D,4,0)</f>
        <v>EMPRESA SEM MAQUINA</v>
      </c>
      <c r="L6269" s="1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1" t="str">
        <f>VLOOKUP(Tabela1[[#This Row],[Cliente]],'BASE DE CLIENTES'!A:E,2,0)</f>
        <v>Brasília</v>
      </c>
      <c r="D6270" s="1" t="str">
        <f>VLOOKUP(Tabela1[[#This Row],[Cliente]],'BASE DE CLIENTES'!A:C,3,0)</f>
        <v>DF</v>
      </c>
      <c r="E6270" s="1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3">
        <f>Tabela1[[#This Row],[MARGEM BRUTA]]/Tabela1[[#This Row],[Valor total]]</f>
        <v>0.36333333333333334</v>
      </c>
      <c r="K6270" s="1" t="str">
        <f>VLOOKUP(Tabela1[[#This Row],[Cliente]],'BASE DE CLIENTES'!A:D,4,0)</f>
        <v>SERRALHEIRO</v>
      </c>
      <c r="L6270" s="1" t="str">
        <f>VLOOKUP(Tabela1[[#This Row],[Cliente]],'BASE DE CLIENTES'!A:E,5,0)</f>
        <v>RIACHO FUNDO I</v>
      </c>
    </row>
    <row r="6271" spans="2:12" x14ac:dyDescent="0.3">
      <c r="B6271" t="s">
        <v>1304</v>
      </c>
      <c r="C6271" s="1" t="str">
        <f>VLOOKUP(Tabela1[[#This Row],[Cliente]],'BASE DE CLIENTES'!A:E,2,0)</f>
        <v>Uberlândia</v>
      </c>
      <c r="D6271" s="1" t="str">
        <f>VLOOKUP(Tabela1[[#This Row],[Cliente]],'BASE DE CLIENTES'!A:C,3,0)</f>
        <v>MG</v>
      </c>
      <c r="E6271" s="1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3">
        <f>Tabela1[[#This Row],[MARGEM BRUTA]]/Tabela1[[#This Row],[Valor total]]</f>
        <v>0.2665176526717557</v>
      </c>
      <c r="K6271" s="1" t="str">
        <f>VLOOKUP(Tabela1[[#This Row],[Cliente]],'BASE DE CLIENTES'!A:D,4,0)</f>
        <v>CLIENTE NOVO S/ IDENT.</v>
      </c>
      <c r="L6271" s="1" t="str">
        <f>VLOOKUP(Tabela1[[#This Row],[Cliente]],'BASE DE CLIENTES'!A:E,5,0)</f>
        <v>Uberlândia</v>
      </c>
    </row>
    <row r="6272" spans="2:12" x14ac:dyDescent="0.3">
      <c r="B6272" t="s">
        <v>150</v>
      </c>
      <c r="C6272" s="1" t="str">
        <f>VLOOKUP(Tabela1[[#This Row],[Cliente]],'BASE DE CLIENTES'!A:E,2,0)</f>
        <v>Anápolis</v>
      </c>
      <c r="D6272" s="1" t="str">
        <f>VLOOKUP(Tabela1[[#This Row],[Cliente]],'BASE DE CLIENTES'!A:C,3,0)</f>
        <v>GO</v>
      </c>
      <c r="E6272" s="1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3">
        <f>Tabela1[[#This Row],[MARGEM BRUTA]]/Tabela1[[#This Row],[Valor total]]</f>
        <v>0.36231773743016754</v>
      </c>
      <c r="K6272" s="1" t="str">
        <f>VLOOKUP(Tabela1[[#This Row],[Cliente]],'BASE DE CLIENTES'!A:D,4,0)</f>
        <v>EMPRESA COM MAQUINA</v>
      </c>
      <c r="L6272" s="1" t="str">
        <f>VLOOKUP(Tabela1[[#This Row],[Cliente]],'BASE DE CLIENTES'!A:E,5,0)</f>
        <v>Anápolis</v>
      </c>
    </row>
    <row r="6273" spans="2:12" x14ac:dyDescent="0.3">
      <c r="B6273" t="s">
        <v>36</v>
      </c>
      <c r="C6273" s="1" t="str">
        <f>VLOOKUP(Tabela1[[#This Row],[Cliente]],'BASE DE CLIENTES'!A:E,2,0)</f>
        <v>Brasília</v>
      </c>
      <c r="D6273" s="1" t="str">
        <f>VLOOKUP(Tabela1[[#This Row],[Cliente]],'BASE DE CLIENTES'!A:C,3,0)</f>
        <v>DF</v>
      </c>
      <c r="E6273" s="1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3">
        <f>Tabela1[[#This Row],[MARGEM BRUTA]]/Tabela1[[#This Row],[Valor total]]</f>
        <v>0.29855280898876402</v>
      </c>
      <c r="K6273" s="1" t="str">
        <f>VLOOKUP(Tabela1[[#This Row],[Cliente]],'BASE DE CLIENTES'!A:D,4,0)</f>
        <v>SERRALHEIRO</v>
      </c>
      <c r="L6273" s="1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1" t="str">
        <f>VLOOKUP(Tabela1[[#This Row],[Cliente]],'BASE DE CLIENTES'!A:E,2,0)</f>
        <v>MERCADO LIVRE</v>
      </c>
      <c r="D6274" s="1" t="str">
        <f>VLOOKUP(Tabela1[[#This Row],[Cliente]],'BASE DE CLIENTES'!A:C,3,0)</f>
        <v>MERCADO LIVRE</v>
      </c>
      <c r="E6274" s="1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3">
        <f>Tabela1[[#This Row],[MARGEM BRUTA]]/Tabela1[[#This Row],[Valor total]]</f>
        <v>0.7081064260152482</v>
      </c>
      <c r="K6274" s="1" t="str">
        <f>VLOOKUP(Tabela1[[#This Row],[Cliente]],'BASE DE CLIENTES'!A:D,4,0)</f>
        <v>OUTROS RAMOS</v>
      </c>
      <c r="L6274" s="1" t="str">
        <f>VLOOKUP(Tabela1[[#This Row],[Cliente]],'BASE DE CLIENTES'!A:E,5,0)</f>
        <v>MERCADO LIVRE</v>
      </c>
    </row>
    <row r="6275" spans="2:12" x14ac:dyDescent="0.3">
      <c r="B6275" t="s">
        <v>1223</v>
      </c>
      <c r="C6275" s="1" t="str">
        <f>VLOOKUP(Tabela1[[#This Row],[Cliente]],'BASE DE CLIENTES'!A:E,2,0)</f>
        <v>MERCADO LIVRE</v>
      </c>
      <c r="D6275" s="1" t="str">
        <f>VLOOKUP(Tabela1[[#This Row],[Cliente]],'BASE DE CLIENTES'!A:C,3,0)</f>
        <v>MERCADO LIVRE</v>
      </c>
      <c r="E6275" s="1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3">
        <f>Tabela1[[#This Row],[MARGEM BRUTA]]/Tabela1[[#This Row],[Valor total]]</f>
        <v>0.7081064260152482</v>
      </c>
      <c r="K6275" s="1" t="str">
        <f>VLOOKUP(Tabela1[[#This Row],[Cliente]],'BASE DE CLIENTES'!A:D,4,0)</f>
        <v>OUTROS RAMOS</v>
      </c>
      <c r="L6275" s="1" t="str">
        <f>VLOOKUP(Tabela1[[#This Row],[Cliente]],'BASE DE CLIENTES'!A:E,5,0)</f>
        <v>MERCADO LIVRE</v>
      </c>
    </row>
    <row r="6276" spans="2:12" x14ac:dyDescent="0.3">
      <c r="B6276" t="s">
        <v>1223</v>
      </c>
      <c r="C6276" s="1" t="str">
        <f>VLOOKUP(Tabela1[[#This Row],[Cliente]],'BASE DE CLIENTES'!A:E,2,0)</f>
        <v>MERCADO LIVRE</v>
      </c>
      <c r="D6276" s="1" t="str">
        <f>VLOOKUP(Tabela1[[#This Row],[Cliente]],'BASE DE CLIENTES'!A:C,3,0)</f>
        <v>MERCADO LIVRE</v>
      </c>
      <c r="E6276" s="1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3">
        <f>Tabela1[[#This Row],[MARGEM BRUTA]]/Tabela1[[#This Row],[Valor total]]</f>
        <v>0.7081064260152482</v>
      </c>
      <c r="K6276" s="1" t="str">
        <f>VLOOKUP(Tabela1[[#This Row],[Cliente]],'BASE DE CLIENTES'!A:D,4,0)</f>
        <v>OUTROS RAMOS</v>
      </c>
      <c r="L6276" s="1" t="str">
        <f>VLOOKUP(Tabela1[[#This Row],[Cliente]],'BASE DE CLIENTES'!A:E,5,0)</f>
        <v>MERCADO LIVRE</v>
      </c>
    </row>
    <row r="6277" spans="2:12" x14ac:dyDescent="0.3">
      <c r="B6277" t="s">
        <v>30</v>
      </c>
      <c r="C6277" s="1" t="str">
        <f>VLOOKUP(Tabela1[[#This Row],[Cliente]],'BASE DE CLIENTES'!A:E,2,0)</f>
        <v>Águas Lindas de Goiás</v>
      </c>
      <c r="D6277" s="1" t="str">
        <f>VLOOKUP(Tabela1[[#This Row],[Cliente]],'BASE DE CLIENTES'!A:C,3,0)</f>
        <v>GO</v>
      </c>
      <c r="E6277" s="1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3">
        <f>Tabela1[[#This Row],[MARGEM BRUTA]]/Tabela1[[#This Row],[Valor total]]</f>
        <v>0.62480000000000002</v>
      </c>
      <c r="K6277" s="1" t="str">
        <f>VLOOKUP(Tabela1[[#This Row],[Cliente]],'BASE DE CLIENTES'!A:D,4,0)</f>
        <v>SERRALHEIRO</v>
      </c>
      <c r="L6277" s="1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1" t="str">
        <f>VLOOKUP(Tabela1[[#This Row],[Cliente]],'BASE DE CLIENTES'!A:E,2,0)</f>
        <v>Brasília</v>
      </c>
      <c r="D6278" s="1" t="str">
        <f>VLOOKUP(Tabela1[[#This Row],[Cliente]],'BASE DE CLIENTES'!A:C,3,0)</f>
        <v>DF</v>
      </c>
      <c r="E6278" s="1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3">
        <f>Tabela1[[#This Row],[MARGEM BRUTA]]/Tabela1[[#This Row],[Valor total]]</f>
        <v>2.4799999999999992E-2</v>
      </c>
      <c r="K6278" s="1" t="str">
        <f>VLOOKUP(Tabela1[[#This Row],[Cliente]],'BASE DE CLIENTES'!A:D,4,0)</f>
        <v>EMPRESA SEM MAQUINA</v>
      </c>
      <c r="L6278" s="1" t="str">
        <f>VLOOKUP(Tabela1[[#This Row],[Cliente]],'BASE DE CLIENTES'!A:E,5,0)</f>
        <v>SOBRADINHO</v>
      </c>
    </row>
    <row r="6279" spans="2:12" x14ac:dyDescent="0.3">
      <c r="B6279" t="s">
        <v>27</v>
      </c>
      <c r="C6279" s="1" t="str">
        <f>VLOOKUP(Tabela1[[#This Row],[Cliente]],'BASE DE CLIENTES'!A:E,2,0)</f>
        <v>Brasília</v>
      </c>
      <c r="D6279" s="1" t="str">
        <f>VLOOKUP(Tabela1[[#This Row],[Cliente]],'BASE DE CLIENTES'!A:C,3,0)</f>
        <v>DF</v>
      </c>
      <c r="E6279" s="1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3">
        <f>Tabela1[[#This Row],[MARGEM BRUTA]]/Tabela1[[#This Row],[Valor total]]</f>
        <v>0.77272727272727271</v>
      </c>
      <c r="K6279" s="1" t="str">
        <f>VLOOKUP(Tabela1[[#This Row],[Cliente]],'BASE DE CLIENTES'!A:D,4,0)</f>
        <v>EMPRESA SEM MAQUINA</v>
      </c>
      <c r="L6279" s="1" t="str">
        <f>VLOOKUP(Tabela1[[#This Row],[Cliente]],'BASE DE CLIENTES'!A:E,5,0)</f>
        <v>RECANTO DAS EMAS</v>
      </c>
    </row>
    <row r="6280" spans="2:12" x14ac:dyDescent="0.3">
      <c r="B6280" t="s">
        <v>343</v>
      </c>
      <c r="C6280" s="1" t="str">
        <f>VLOOKUP(Tabela1[[#This Row],[Cliente]],'BASE DE CLIENTES'!A:E,2,0)</f>
        <v>Brasília</v>
      </c>
      <c r="D6280" s="1" t="str">
        <f>VLOOKUP(Tabela1[[#This Row],[Cliente]],'BASE DE CLIENTES'!A:C,3,0)</f>
        <v>DF</v>
      </c>
      <c r="E6280" s="1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3">
        <f>Tabela1[[#This Row],[MARGEM BRUTA]]/Tabela1[[#This Row],[Valor total]]</f>
        <v>0.7466666666666667</v>
      </c>
      <c r="K6280" s="1" t="str">
        <f>VLOOKUP(Tabela1[[#This Row],[Cliente]],'BASE DE CLIENTES'!A:D,4,0)</f>
        <v>CLIENTE NOVO S/ IDENT.</v>
      </c>
      <c r="L6280" s="1" t="str">
        <f>VLOOKUP(Tabela1[[#This Row],[Cliente]],'BASE DE CLIENTES'!A:E,5,0)</f>
        <v>Brasília</v>
      </c>
    </row>
    <row r="6281" spans="2:12" x14ac:dyDescent="0.3">
      <c r="B6281" t="s">
        <v>23</v>
      </c>
      <c r="C6281" s="1" t="str">
        <f>VLOOKUP(Tabela1[[#This Row],[Cliente]],'BASE DE CLIENTES'!A:E,2,0)</f>
        <v>Brasília</v>
      </c>
      <c r="D6281" s="1" t="str">
        <f>VLOOKUP(Tabela1[[#This Row],[Cliente]],'BASE DE CLIENTES'!A:C,3,0)</f>
        <v>DF</v>
      </c>
      <c r="E6281" s="1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3">
        <f>Tabela1[[#This Row],[MARGEM BRUTA]]/Tabela1[[#This Row],[Valor total]]</f>
        <v>2.4799999999999992E-2</v>
      </c>
      <c r="K6281" s="1" t="str">
        <f>VLOOKUP(Tabela1[[#This Row],[Cliente]],'BASE DE CLIENTES'!A:D,4,0)</f>
        <v>EMPRESA SEM MAQUINA</v>
      </c>
      <c r="L6281" s="1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1" t="str">
        <f>VLOOKUP(Tabela1[[#This Row],[Cliente]],'BASE DE CLIENTES'!A:E,2,0)</f>
        <v>Brasília</v>
      </c>
      <c r="D6282" s="1" t="str">
        <f>VLOOKUP(Tabela1[[#This Row],[Cliente]],'BASE DE CLIENTES'!A:C,3,0)</f>
        <v>DF</v>
      </c>
      <c r="E6282" s="1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3">
        <f>Tabela1[[#This Row],[MARGEM BRUTA]]/Tabela1[[#This Row],[Valor total]]</f>
        <v>0.17029702970297031</v>
      </c>
      <c r="K6282" s="1" t="str">
        <f>VLOOKUP(Tabela1[[#This Row],[Cliente]],'BASE DE CLIENTES'!A:D,4,0)</f>
        <v>EMPRESA SEM MAQUINA</v>
      </c>
      <c r="L6282" s="1" t="str">
        <f>VLOOKUP(Tabela1[[#This Row],[Cliente]],'BASE DE CLIENTES'!A:E,5,0)</f>
        <v>RECANTO DAS EMAS</v>
      </c>
    </row>
    <row r="6283" spans="2:12" x14ac:dyDescent="0.3">
      <c r="B6283" t="s">
        <v>96</v>
      </c>
      <c r="C6283" s="1" t="str">
        <f>VLOOKUP(Tabela1[[#This Row],[Cliente]],'BASE DE CLIENTES'!A:E,2,0)</f>
        <v>Brasília</v>
      </c>
      <c r="D6283" s="1" t="str">
        <f>VLOOKUP(Tabela1[[#This Row],[Cliente]],'BASE DE CLIENTES'!A:C,3,0)</f>
        <v>DF</v>
      </c>
      <c r="E6283" s="1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3">
        <f>Tabela1[[#This Row],[MARGEM BRUTA]]/Tabela1[[#This Row],[Valor total]]</f>
        <v>0.55294117647058827</v>
      </c>
      <c r="K6283" s="1" t="str">
        <f>VLOOKUP(Tabela1[[#This Row],[Cliente]],'BASE DE CLIENTES'!A:D,4,0)</f>
        <v>EMPRESA SEM MAQUINA</v>
      </c>
      <c r="L6283" s="1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1" t="str">
        <f>VLOOKUP(Tabela1[[#This Row],[Cliente]],'BASE DE CLIENTES'!A:E,2,0)</f>
        <v>Brasília</v>
      </c>
      <c r="D6284" s="1" t="str">
        <f>VLOOKUP(Tabela1[[#This Row],[Cliente]],'BASE DE CLIENTES'!A:C,3,0)</f>
        <v>DF</v>
      </c>
      <c r="E6284" s="1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3">
        <f>Tabela1[[#This Row],[MARGEM BRUTA]]/Tabela1[[#This Row],[Valor total]]</f>
        <v>0.39090909090909093</v>
      </c>
      <c r="K6284" s="1" t="str">
        <f>VLOOKUP(Tabela1[[#This Row],[Cliente]],'BASE DE CLIENTES'!A:D,4,0)</f>
        <v>SERRALHEIRO</v>
      </c>
      <c r="L6284" s="1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1" t="str">
        <f>VLOOKUP(Tabela1[[#This Row],[Cliente]],'BASE DE CLIENTES'!A:E,2,0)</f>
        <v>Brasília</v>
      </c>
      <c r="D6285" s="1" t="str">
        <f>VLOOKUP(Tabela1[[#This Row],[Cliente]],'BASE DE CLIENTES'!A:C,3,0)</f>
        <v>DF</v>
      </c>
      <c r="E6285" s="1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3">
        <f>Tabela1[[#This Row],[MARGEM BRUTA]]/Tabela1[[#This Row],[Valor total]]</f>
        <v>0.37086614173228344</v>
      </c>
      <c r="K6285" s="1" t="str">
        <f>VLOOKUP(Tabela1[[#This Row],[Cliente]],'BASE DE CLIENTES'!A:D,4,0)</f>
        <v>EMPRESA SEM MAQUINA</v>
      </c>
      <c r="L6285" s="1" t="str">
        <f>VLOOKUP(Tabela1[[#This Row],[Cliente]],'BASE DE CLIENTES'!A:E,5,0)</f>
        <v>SOBRADINHO</v>
      </c>
    </row>
    <row r="6286" spans="2:12" x14ac:dyDescent="0.3">
      <c r="B6286" t="s">
        <v>765</v>
      </c>
      <c r="C6286" s="1" t="str">
        <f>VLOOKUP(Tabela1[[#This Row],[Cliente]],'BASE DE CLIENTES'!A:E,2,0)</f>
        <v>Brasília</v>
      </c>
      <c r="D6286" s="1" t="str">
        <f>VLOOKUP(Tabela1[[#This Row],[Cliente]],'BASE DE CLIENTES'!A:C,3,0)</f>
        <v>DF</v>
      </c>
      <c r="E6286" s="1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3">
        <f>Tabela1[[#This Row],[MARGEM BRUTA]]/Tabela1[[#This Row],[Valor total]]</f>
        <v>0.46400000000000002</v>
      </c>
      <c r="K6286" s="1" t="str">
        <f>VLOOKUP(Tabela1[[#This Row],[Cliente]],'BASE DE CLIENTES'!A:D,4,0)</f>
        <v>SEM CLASSIFICAÇÃO</v>
      </c>
      <c r="L6286" s="1" t="str">
        <f>VLOOKUP(Tabela1[[#This Row],[Cliente]],'BASE DE CLIENTES'!A:E,5,0)</f>
        <v>SOBRADINHO</v>
      </c>
    </row>
    <row r="6287" spans="2:12" x14ac:dyDescent="0.3">
      <c r="B6287" t="s">
        <v>161</v>
      </c>
      <c r="C6287" s="1" t="str">
        <f>VLOOKUP(Tabela1[[#This Row],[Cliente]],'BASE DE CLIENTES'!A:E,2,0)</f>
        <v>Brasília</v>
      </c>
      <c r="D6287" s="1" t="str">
        <f>VLOOKUP(Tabela1[[#This Row],[Cliente]],'BASE DE CLIENTES'!A:C,3,0)</f>
        <v>DF</v>
      </c>
      <c r="E6287" s="1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3">
        <f>Tabela1[[#This Row],[MARGEM BRUTA]]/Tabela1[[#This Row],[Valor total]]</f>
        <v>0.36239270386266093</v>
      </c>
      <c r="K6287" s="1" t="str">
        <f>VLOOKUP(Tabela1[[#This Row],[Cliente]],'BASE DE CLIENTES'!A:D,4,0)</f>
        <v>EMPRESA COM MAQUINA</v>
      </c>
      <c r="L6287" s="1" t="str">
        <f>VLOOKUP(Tabela1[[#This Row],[Cliente]],'BASE DE CLIENTES'!A:E,5,0)</f>
        <v>RIACHO FUNDO II</v>
      </c>
    </row>
    <row r="6288" spans="2:12" x14ac:dyDescent="0.3">
      <c r="B6288" t="s">
        <v>1223</v>
      </c>
      <c r="C6288" s="1" t="str">
        <f>VLOOKUP(Tabela1[[#This Row],[Cliente]],'BASE DE CLIENTES'!A:E,2,0)</f>
        <v>MERCADO LIVRE</v>
      </c>
      <c r="D6288" s="1" t="str">
        <f>VLOOKUP(Tabela1[[#This Row],[Cliente]],'BASE DE CLIENTES'!A:C,3,0)</f>
        <v>MERCADO LIVRE</v>
      </c>
      <c r="E6288" s="1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3">
        <f>Tabela1[[#This Row],[MARGEM BRUTA]]/Tabela1[[#This Row],[Valor total]]</f>
        <v>0.7081064260152482</v>
      </c>
      <c r="K6288" s="1" t="str">
        <f>VLOOKUP(Tabela1[[#This Row],[Cliente]],'BASE DE CLIENTES'!A:D,4,0)</f>
        <v>OUTROS RAMOS</v>
      </c>
      <c r="L6288" s="1" t="str">
        <f>VLOOKUP(Tabela1[[#This Row],[Cliente]],'BASE DE CLIENTES'!A:E,5,0)</f>
        <v>MERCADO LIVRE</v>
      </c>
    </row>
    <row r="6289" spans="2:12" x14ac:dyDescent="0.3">
      <c r="B6289" t="s">
        <v>88</v>
      </c>
      <c r="C6289" s="1" t="str">
        <f>VLOOKUP(Tabela1[[#This Row],[Cliente]],'BASE DE CLIENTES'!A:E,2,0)</f>
        <v>Brasília</v>
      </c>
      <c r="D6289" s="1" t="str">
        <f>VLOOKUP(Tabela1[[#This Row],[Cliente]],'BASE DE CLIENTES'!A:C,3,0)</f>
        <v>DF</v>
      </c>
      <c r="E6289" s="1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3">
        <f>Tabela1[[#This Row],[MARGEM BRUTA]]/Tabela1[[#This Row],[Valor total]]</f>
        <v>0.4186050955414013</v>
      </c>
      <c r="K6289" s="1" t="str">
        <f>VLOOKUP(Tabela1[[#This Row],[Cliente]],'BASE DE CLIENTES'!A:D,4,0)</f>
        <v>SERRALHEIRO</v>
      </c>
      <c r="L6289" s="1" t="str">
        <f>VLOOKUP(Tabela1[[#This Row],[Cliente]],'BASE DE CLIENTES'!A:E,5,0)</f>
        <v>RECANTO DAS EMAS</v>
      </c>
    </row>
    <row r="6290" spans="2:12" x14ac:dyDescent="0.3">
      <c r="B6290" t="s">
        <v>68</v>
      </c>
      <c r="C6290" s="1" t="str">
        <f>VLOOKUP(Tabela1[[#This Row],[Cliente]],'BASE DE CLIENTES'!A:E,2,0)</f>
        <v>Brasília</v>
      </c>
      <c r="D6290" s="1" t="str">
        <f>VLOOKUP(Tabela1[[#This Row],[Cliente]],'BASE DE CLIENTES'!A:C,3,0)</f>
        <v>DF</v>
      </c>
      <c r="E6290" s="1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3">
        <f>Tabela1[[#This Row],[MARGEM BRUTA]]/Tabela1[[#This Row],[Valor total]]</f>
        <v>0.40507228915662646</v>
      </c>
      <c r="K6290" s="1" t="str">
        <f>VLOOKUP(Tabela1[[#This Row],[Cliente]],'BASE DE CLIENTES'!A:D,4,0)</f>
        <v>EMPRESA COM MAQUINA</v>
      </c>
      <c r="L6290" s="1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1" t="str">
        <f>VLOOKUP(Tabela1[[#This Row],[Cliente]],'BASE DE CLIENTES'!A:E,2,0)</f>
        <v>Brasília</v>
      </c>
      <c r="D6291" s="1" t="str">
        <f>VLOOKUP(Tabela1[[#This Row],[Cliente]],'BASE DE CLIENTES'!A:C,3,0)</f>
        <v>DF</v>
      </c>
      <c r="E6291" s="1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3">
        <f>Tabela1[[#This Row],[MARGEM BRUTA]]/Tabela1[[#This Row],[Valor total]]</f>
        <v>0.5189473684210526</v>
      </c>
      <c r="K6291" s="1" t="str">
        <f>VLOOKUP(Tabela1[[#This Row],[Cliente]],'BASE DE CLIENTES'!A:D,4,0)</f>
        <v>CLIENTE NOVO S/ IDENT.</v>
      </c>
      <c r="L6291" s="1" t="str">
        <f>VLOOKUP(Tabela1[[#This Row],[Cliente]],'BASE DE CLIENTES'!A:E,5,0)</f>
        <v>SANTA MARIA</v>
      </c>
    </row>
    <row r="6292" spans="2:12" x14ac:dyDescent="0.3">
      <c r="B6292" t="s">
        <v>112</v>
      </c>
      <c r="C6292" s="1" t="str">
        <f>VLOOKUP(Tabela1[[#This Row],[Cliente]],'BASE DE CLIENTES'!A:E,2,0)</f>
        <v>Brasília</v>
      </c>
      <c r="D6292" s="1" t="str">
        <f>VLOOKUP(Tabela1[[#This Row],[Cliente]],'BASE DE CLIENTES'!A:C,3,0)</f>
        <v>DF</v>
      </c>
      <c r="E6292" s="1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3">
        <f>Tabela1[[#This Row],[MARGEM BRUTA]]/Tabela1[[#This Row],[Valor total]]</f>
        <v>0.44690990320178708</v>
      </c>
      <c r="K6292" s="1" t="str">
        <f>VLOOKUP(Tabela1[[#This Row],[Cliente]],'BASE DE CLIENTES'!A:D,4,0)</f>
        <v>SERRALHEIRO</v>
      </c>
      <c r="L6292" s="1" t="str">
        <f>VLOOKUP(Tabela1[[#This Row],[Cliente]],'BASE DE CLIENTES'!A:E,5,0)</f>
        <v>RIACHO FUNDO I</v>
      </c>
    </row>
    <row r="6293" spans="2:12" x14ac:dyDescent="0.3">
      <c r="B6293" t="s">
        <v>128</v>
      </c>
      <c r="C6293" s="1" t="str">
        <f>VLOOKUP(Tabela1[[#This Row],[Cliente]],'BASE DE CLIENTES'!A:E,2,0)</f>
        <v>Brasília</v>
      </c>
      <c r="D6293" s="1" t="str">
        <f>VLOOKUP(Tabela1[[#This Row],[Cliente]],'BASE DE CLIENTES'!A:C,3,0)</f>
        <v>DF</v>
      </c>
      <c r="E6293" s="1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3">
        <f>Tabela1[[#This Row],[MARGEM BRUTA]]/Tabela1[[#This Row],[Valor total]]</f>
        <v>0.30783242258652094</v>
      </c>
      <c r="K6293" s="1" t="str">
        <f>VLOOKUP(Tabela1[[#This Row],[Cliente]],'BASE DE CLIENTES'!A:D,4,0)</f>
        <v>SERRALHEIRO</v>
      </c>
      <c r="L6293" s="1" t="str">
        <f>VLOOKUP(Tabela1[[#This Row],[Cliente]],'BASE DE CLIENTES'!A:E,5,0)</f>
        <v>TAGUATINGA NORTE</v>
      </c>
    </row>
    <row r="6294" spans="2:12" x14ac:dyDescent="0.3">
      <c r="B6294" t="s">
        <v>19</v>
      </c>
      <c r="C6294" s="1" t="str">
        <f>VLOOKUP(Tabela1[[#This Row],[Cliente]],'BASE DE CLIENTES'!A:E,2,0)</f>
        <v>Águas Lindas de Goiás</v>
      </c>
      <c r="D6294" s="1" t="str">
        <f>VLOOKUP(Tabela1[[#This Row],[Cliente]],'BASE DE CLIENTES'!A:C,3,0)</f>
        <v>GO</v>
      </c>
      <c r="E6294" s="1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3">
        <f>Tabela1[[#This Row],[MARGEM BRUTA]]/Tabela1[[#This Row],[Valor total]]</f>
        <v>0.4816185410334346</v>
      </c>
      <c r="K6294" s="1" t="str">
        <f>VLOOKUP(Tabela1[[#This Row],[Cliente]],'BASE DE CLIENTES'!A:D,4,0)</f>
        <v>SERRALHEIRO</v>
      </c>
      <c r="L6294" s="1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1" t="str">
        <f>VLOOKUP(Tabela1[[#This Row],[Cliente]],'BASE DE CLIENTES'!A:E,2,0)</f>
        <v>Goiânia</v>
      </c>
      <c r="D6295" s="1" t="str">
        <f>VLOOKUP(Tabela1[[#This Row],[Cliente]],'BASE DE CLIENTES'!A:C,3,0)</f>
        <v>GO</v>
      </c>
      <c r="E6295" s="1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3">
        <f>Tabela1[[#This Row],[MARGEM BRUTA]]/Tabela1[[#This Row],[Valor total]]</f>
        <v>0.32119711853307142</v>
      </c>
      <c r="K6295" s="1" t="str">
        <f>VLOOKUP(Tabela1[[#This Row],[Cliente]],'BASE DE CLIENTES'!A:D,4,0)</f>
        <v>EMPRESA COM MAQUINA</v>
      </c>
      <c r="L6295" s="1" t="str">
        <f>VLOOKUP(Tabela1[[#This Row],[Cliente]],'BASE DE CLIENTES'!A:E,5,0)</f>
        <v>Goiânia</v>
      </c>
    </row>
    <row r="6296" spans="2:12" x14ac:dyDescent="0.3">
      <c r="B6296" t="s">
        <v>255</v>
      </c>
      <c r="C6296" s="1" t="str">
        <f>VLOOKUP(Tabela1[[#This Row],[Cliente]],'BASE DE CLIENTES'!A:E,2,0)</f>
        <v>Brasília</v>
      </c>
      <c r="D6296" s="1" t="str">
        <f>VLOOKUP(Tabela1[[#This Row],[Cliente]],'BASE DE CLIENTES'!A:C,3,0)</f>
        <v>DF</v>
      </c>
      <c r="E6296" s="1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3">
        <f>Tabela1[[#This Row],[MARGEM BRUTA]]/Tabela1[[#This Row],[Valor total]]</f>
        <v>0.39977777777777779</v>
      </c>
      <c r="K6296" s="1" t="str">
        <f>VLOOKUP(Tabela1[[#This Row],[Cliente]],'BASE DE CLIENTES'!A:D,4,0)</f>
        <v>EMPRESA COM MAQUINA</v>
      </c>
      <c r="L6296" s="1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1" t="str">
        <f>VLOOKUP(Tabela1[[#This Row],[Cliente]],'BASE DE CLIENTES'!A:E,2,0)</f>
        <v>Brasília</v>
      </c>
      <c r="D6297" s="1" t="str">
        <f>VLOOKUP(Tabela1[[#This Row],[Cliente]],'BASE DE CLIENTES'!A:C,3,0)</f>
        <v>DF</v>
      </c>
      <c r="E6297" s="1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3">
        <f>Tabela1[[#This Row],[MARGEM BRUTA]]/Tabela1[[#This Row],[Valor total]]</f>
        <v>0.50326797385620914</v>
      </c>
      <c r="K6297" s="1" t="str">
        <f>VLOOKUP(Tabela1[[#This Row],[Cliente]],'BASE DE CLIENTES'!A:D,4,0)</f>
        <v>EMPRESA SEM MAQUINA</v>
      </c>
      <c r="L6297" s="1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1" t="str">
        <f>VLOOKUP(Tabela1[[#This Row],[Cliente]],'BASE DE CLIENTES'!A:E,2,0)</f>
        <v>Brasília</v>
      </c>
      <c r="D6298" s="1" t="str">
        <f>VLOOKUP(Tabela1[[#This Row],[Cliente]],'BASE DE CLIENTES'!A:C,3,0)</f>
        <v>DF</v>
      </c>
      <c r="E6298" s="1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3">
        <f>Tabela1[[#This Row],[MARGEM BRUTA]]/Tabela1[[#This Row],[Valor total]]</f>
        <v>0.36950714285714281</v>
      </c>
      <c r="K6298" s="1" t="str">
        <f>VLOOKUP(Tabela1[[#This Row],[Cliente]],'BASE DE CLIENTES'!A:D,4,0)</f>
        <v>EMPRESA SEM MAQUINA</v>
      </c>
      <c r="L6298" s="1" t="str">
        <f>VLOOKUP(Tabela1[[#This Row],[Cliente]],'BASE DE CLIENTES'!A:E,5,0)</f>
        <v>SAMAMBAIA</v>
      </c>
    </row>
    <row r="6299" spans="2:12" x14ac:dyDescent="0.3">
      <c r="B6299" t="s">
        <v>25</v>
      </c>
      <c r="C6299" s="1" t="str">
        <f>VLOOKUP(Tabela1[[#This Row],[Cliente]],'BASE DE CLIENTES'!A:E,2,0)</f>
        <v>Brasília</v>
      </c>
      <c r="D6299" s="1" t="str">
        <f>VLOOKUP(Tabela1[[#This Row],[Cliente]],'BASE DE CLIENTES'!A:C,3,0)</f>
        <v>DF</v>
      </c>
      <c r="E6299" s="1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3">
        <f>Tabela1[[#This Row],[MARGEM BRUTA]]/Tabela1[[#This Row],[Valor total]]</f>
        <v>0.46691729323308273</v>
      </c>
      <c r="K6299" s="1" t="str">
        <f>VLOOKUP(Tabela1[[#This Row],[Cliente]],'BASE DE CLIENTES'!A:D,4,0)</f>
        <v>EMPRESA COM MAQUINA</v>
      </c>
      <c r="L6299" s="1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1" t="str">
        <f>VLOOKUP(Tabela1[[#This Row],[Cliente]],'BASE DE CLIENTES'!A:E,2,0)</f>
        <v>Brasília</v>
      </c>
      <c r="D6300" s="1" t="str">
        <f>VLOOKUP(Tabela1[[#This Row],[Cliente]],'BASE DE CLIENTES'!A:C,3,0)</f>
        <v>DF</v>
      </c>
      <c r="E6300" s="1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3">
        <f>Tabela1[[#This Row],[MARGEM BRUTA]]/Tabela1[[#This Row],[Valor total]]</f>
        <v>0.41739130434782606</v>
      </c>
      <c r="K6300" s="1" t="str">
        <f>VLOOKUP(Tabela1[[#This Row],[Cliente]],'BASE DE CLIENTES'!A:D,4,0)</f>
        <v>SERRALHEIRO</v>
      </c>
      <c r="L6300" s="1" t="str">
        <f>VLOOKUP(Tabela1[[#This Row],[Cliente]],'BASE DE CLIENTES'!A:E,5,0)</f>
        <v>NA</v>
      </c>
    </row>
    <row r="6301" spans="2:12" x14ac:dyDescent="0.3">
      <c r="B6301" t="s">
        <v>76</v>
      </c>
      <c r="C6301" s="1" t="str">
        <f>VLOOKUP(Tabela1[[#This Row],[Cliente]],'BASE DE CLIENTES'!A:E,2,0)</f>
        <v>Brasília</v>
      </c>
      <c r="D6301" s="1" t="str">
        <f>VLOOKUP(Tabela1[[#This Row],[Cliente]],'BASE DE CLIENTES'!A:C,3,0)</f>
        <v>DF</v>
      </c>
      <c r="E6301" s="1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3">
        <f>Tabela1[[#This Row],[MARGEM BRUTA]]/Tabela1[[#This Row],[Valor total]]</f>
        <v>0.33566433566433568</v>
      </c>
      <c r="K6301" s="1" t="str">
        <f>VLOOKUP(Tabela1[[#This Row],[Cliente]],'BASE DE CLIENTES'!A:D,4,0)</f>
        <v>EMPRESA COM MAQUINA</v>
      </c>
      <c r="L6301" s="1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1" t="str">
        <f>VLOOKUP(Tabela1[[#This Row],[Cliente]],'BASE DE CLIENTES'!A:E,2,0)</f>
        <v>Brasília</v>
      </c>
      <c r="D6302" s="1" t="str">
        <f>VLOOKUP(Tabela1[[#This Row],[Cliente]],'BASE DE CLIENTES'!A:C,3,0)</f>
        <v>DF</v>
      </c>
      <c r="E6302" s="1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3">
        <f>Tabela1[[#This Row],[MARGEM BRUTA]]/Tabela1[[#This Row],[Valor total]]</f>
        <v>0.33325477707006373</v>
      </c>
      <c r="K6302" s="1" t="str">
        <f>VLOOKUP(Tabela1[[#This Row],[Cliente]],'BASE DE CLIENTES'!A:D,4,0)</f>
        <v>EMPRESA SEM MAQUINA</v>
      </c>
      <c r="L6302" s="1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1" t="str">
        <f>VLOOKUP(Tabela1[[#This Row],[Cliente]],'BASE DE CLIENTES'!A:E,2,0)</f>
        <v>Brasília</v>
      </c>
      <c r="D6303" s="1" t="str">
        <f>VLOOKUP(Tabela1[[#This Row],[Cliente]],'BASE DE CLIENTES'!A:C,3,0)</f>
        <v>DF</v>
      </c>
      <c r="E6303" s="1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3">
        <f>Tabela1[[#This Row],[MARGEM BRUTA]]/Tabela1[[#This Row],[Valor total]]</f>
        <v>0.532258064516129</v>
      </c>
      <c r="K6303" s="1" t="str">
        <f>VLOOKUP(Tabela1[[#This Row],[Cliente]],'BASE DE CLIENTES'!A:D,4,0)</f>
        <v>SERRALHEIRO</v>
      </c>
      <c r="L6303" s="1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1" t="str">
        <f>VLOOKUP(Tabela1[[#This Row],[Cliente]],'BASE DE CLIENTES'!A:E,2,0)</f>
        <v>Brasília</v>
      </c>
      <c r="D6304" s="1" t="str">
        <f>VLOOKUP(Tabela1[[#This Row],[Cliente]],'BASE DE CLIENTES'!A:C,3,0)</f>
        <v>DF</v>
      </c>
      <c r="E6304" s="1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3">
        <f>Tabela1[[#This Row],[MARGEM BRUTA]]/Tabela1[[#This Row],[Valor total]]</f>
        <v>0.36992481203007521</v>
      </c>
      <c r="K6304" s="1" t="str">
        <f>VLOOKUP(Tabela1[[#This Row],[Cliente]],'BASE DE CLIENTES'!A:D,4,0)</f>
        <v>EMPRESA SEM MAQUINA</v>
      </c>
      <c r="L6304" s="1" t="str">
        <f>VLOOKUP(Tabela1[[#This Row],[Cliente]],'BASE DE CLIENTES'!A:E,5,0)</f>
        <v>SAMAMBAIA</v>
      </c>
    </row>
    <row r="6305" spans="2:12" x14ac:dyDescent="0.3">
      <c r="B6305" t="s">
        <v>1223</v>
      </c>
      <c r="C6305" s="1" t="str">
        <f>VLOOKUP(Tabela1[[#This Row],[Cliente]],'BASE DE CLIENTES'!A:E,2,0)</f>
        <v>MERCADO LIVRE</v>
      </c>
      <c r="D6305" s="1" t="str">
        <f>VLOOKUP(Tabela1[[#This Row],[Cliente]],'BASE DE CLIENTES'!A:C,3,0)</f>
        <v>MERCADO LIVRE</v>
      </c>
      <c r="E6305" s="1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3">
        <f>Tabela1[[#This Row],[MARGEM BRUTA]]/Tabela1[[#This Row],[Valor total]]</f>
        <v>0.8467278410809721</v>
      </c>
      <c r="K6305" s="1" t="str">
        <f>VLOOKUP(Tabela1[[#This Row],[Cliente]],'BASE DE CLIENTES'!A:D,4,0)</f>
        <v>OUTROS RAMOS</v>
      </c>
      <c r="L6305" s="1" t="str">
        <f>VLOOKUP(Tabela1[[#This Row],[Cliente]],'BASE DE CLIENTES'!A:E,5,0)</f>
        <v>MERCADO LIVRE</v>
      </c>
    </row>
    <row r="6306" spans="2:12" x14ac:dyDescent="0.3">
      <c r="B6306" t="s">
        <v>68</v>
      </c>
      <c r="C6306" s="1" t="str">
        <f>VLOOKUP(Tabela1[[#This Row],[Cliente]],'BASE DE CLIENTES'!A:E,2,0)</f>
        <v>Brasília</v>
      </c>
      <c r="D6306" s="1" t="str">
        <f>VLOOKUP(Tabela1[[#This Row],[Cliente]],'BASE DE CLIENTES'!A:C,3,0)</f>
        <v>DF</v>
      </c>
      <c r="E6306" s="1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3">
        <f>Tabela1[[#This Row],[MARGEM BRUTA]]/Tabela1[[#This Row],[Valor total]]</f>
        <v>0.2391304347826087</v>
      </c>
      <c r="K6306" s="1" t="str">
        <f>VLOOKUP(Tabela1[[#This Row],[Cliente]],'BASE DE CLIENTES'!A:D,4,0)</f>
        <v>EMPRESA COM MAQUINA</v>
      </c>
      <c r="L6306" s="1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1" t="str">
        <f>VLOOKUP(Tabela1[[#This Row],[Cliente]],'BASE DE CLIENTES'!A:E,2,0)</f>
        <v>Valparaíso de Goiás</v>
      </c>
      <c r="D6307" s="1" t="str">
        <f>VLOOKUP(Tabela1[[#This Row],[Cliente]],'BASE DE CLIENTES'!A:C,3,0)</f>
        <v>GO</v>
      </c>
      <c r="E6307" s="1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3">
        <f>Tabela1[[#This Row],[MARGEM BRUTA]]/Tabela1[[#This Row],[Valor total]]</f>
        <v>0.31869918699186994</v>
      </c>
      <c r="K6307" s="1" t="str">
        <f>VLOOKUP(Tabela1[[#This Row],[Cliente]],'BASE DE CLIENTES'!A:D,4,0)</f>
        <v>SERRALHEIRO</v>
      </c>
      <c r="L6307" s="1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1" t="str">
        <f>VLOOKUP(Tabela1[[#This Row],[Cliente]],'BASE DE CLIENTES'!A:E,2,0)</f>
        <v>Brasília</v>
      </c>
      <c r="D6308" s="1" t="str">
        <f>VLOOKUP(Tabela1[[#This Row],[Cliente]],'BASE DE CLIENTES'!A:C,3,0)</f>
        <v>DF</v>
      </c>
      <c r="E6308" s="1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3">
        <f>Tabela1[[#This Row],[MARGEM BRUTA]]/Tabela1[[#This Row],[Valor total]]</f>
        <v>0.32000510855683273</v>
      </c>
      <c r="K6308" s="1" t="str">
        <f>VLOOKUP(Tabela1[[#This Row],[Cliente]],'BASE DE CLIENTES'!A:D,4,0)</f>
        <v>EMPRESA COM MAQUINA</v>
      </c>
      <c r="L6308" s="1" t="str">
        <f>VLOOKUP(Tabela1[[#This Row],[Cliente]],'BASE DE CLIENTES'!A:E,5,0)</f>
        <v>RIACHO FUNDO II</v>
      </c>
    </row>
    <row r="6309" spans="2:12" x14ac:dyDescent="0.3">
      <c r="B6309" t="s">
        <v>19</v>
      </c>
      <c r="C6309" s="1" t="str">
        <f>VLOOKUP(Tabela1[[#This Row],[Cliente]],'BASE DE CLIENTES'!A:E,2,0)</f>
        <v>Águas Lindas de Goiás</v>
      </c>
      <c r="D6309" s="1" t="str">
        <f>VLOOKUP(Tabela1[[#This Row],[Cliente]],'BASE DE CLIENTES'!A:C,3,0)</f>
        <v>GO</v>
      </c>
      <c r="E6309" s="1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3">
        <f>Tabela1[[#This Row],[MARGEM BRUTA]]/Tabela1[[#This Row],[Valor total]]</f>
        <v>0.35038759689922483</v>
      </c>
      <c r="K6309" s="1" t="str">
        <f>VLOOKUP(Tabela1[[#This Row],[Cliente]],'BASE DE CLIENTES'!A:D,4,0)</f>
        <v>SERRALHEIRO</v>
      </c>
      <c r="L6309" s="1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1" t="str">
        <f>VLOOKUP(Tabela1[[#This Row],[Cliente]],'BASE DE CLIENTES'!A:E,2,0)</f>
        <v>Brasília</v>
      </c>
      <c r="D6310" s="1" t="str">
        <f>VLOOKUP(Tabela1[[#This Row],[Cliente]],'BASE DE CLIENTES'!A:C,3,0)</f>
        <v>DF</v>
      </c>
      <c r="E6310" s="1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3">
        <f>Tabela1[[#This Row],[MARGEM BRUTA]]/Tabela1[[#This Row],[Valor total]]</f>
        <v>0.26336363636363636</v>
      </c>
      <c r="K6310" s="1" t="str">
        <f>VLOOKUP(Tabela1[[#This Row],[Cliente]],'BASE DE CLIENTES'!A:D,4,0)</f>
        <v>EMPRESA SEM MAQUINA</v>
      </c>
      <c r="L6310" s="1" t="str">
        <f>VLOOKUP(Tabela1[[#This Row],[Cliente]],'BASE DE CLIENTES'!A:E,5,0)</f>
        <v>RECANTO DAS EMAS</v>
      </c>
    </row>
    <row r="6311" spans="2:12" x14ac:dyDescent="0.3">
      <c r="B6311" t="s">
        <v>42</v>
      </c>
      <c r="C6311" s="1" t="str">
        <f>VLOOKUP(Tabela1[[#This Row],[Cliente]],'BASE DE CLIENTES'!A:E,2,0)</f>
        <v>Brasília</v>
      </c>
      <c r="D6311" s="1" t="str">
        <f>VLOOKUP(Tabela1[[#This Row],[Cliente]],'BASE DE CLIENTES'!A:C,3,0)</f>
        <v>DF</v>
      </c>
      <c r="E6311" s="1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3">
        <f>Tabela1[[#This Row],[MARGEM BRUTA]]/Tabela1[[#This Row],[Valor total]]</f>
        <v>0.35023636363636362</v>
      </c>
      <c r="K6311" s="1" t="str">
        <f>VLOOKUP(Tabela1[[#This Row],[Cliente]],'BASE DE CLIENTES'!A:D,4,0)</f>
        <v>EMPRESA SEM MAQUINA</v>
      </c>
      <c r="L6311" s="1" t="str">
        <f>VLOOKUP(Tabela1[[#This Row],[Cliente]],'BASE DE CLIENTES'!A:E,5,0)</f>
        <v>SAMAMBAIA</v>
      </c>
    </row>
    <row r="6312" spans="2:12" x14ac:dyDescent="0.3">
      <c r="B6312" t="s">
        <v>92</v>
      </c>
      <c r="C6312" s="1" t="str">
        <f>VLOOKUP(Tabela1[[#This Row],[Cliente]],'BASE DE CLIENTES'!A:E,2,0)</f>
        <v>Brasília</v>
      </c>
      <c r="D6312" s="1" t="str">
        <f>VLOOKUP(Tabela1[[#This Row],[Cliente]],'BASE DE CLIENTES'!A:C,3,0)</f>
        <v>DF</v>
      </c>
      <c r="E6312" s="1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3">
        <f>Tabela1[[#This Row],[MARGEM BRUTA]]/Tabela1[[#This Row],[Valor total]]</f>
        <v>0.31869918699186994</v>
      </c>
      <c r="K6312" s="1" t="str">
        <f>VLOOKUP(Tabela1[[#This Row],[Cliente]],'BASE DE CLIENTES'!A:D,4,0)</f>
        <v>EMPRESA SEM MAQUINA</v>
      </c>
      <c r="L6312" s="1" t="str">
        <f>VLOOKUP(Tabela1[[#This Row],[Cliente]],'BASE DE CLIENTES'!A:E,5,0)</f>
        <v>SOBRADINHO</v>
      </c>
    </row>
    <row r="6313" spans="2:12" x14ac:dyDescent="0.3">
      <c r="B6313" t="s">
        <v>111</v>
      </c>
      <c r="C6313" s="1" t="str">
        <f>VLOOKUP(Tabela1[[#This Row],[Cliente]],'BASE DE CLIENTES'!A:E,2,0)</f>
        <v>Brasília</v>
      </c>
      <c r="D6313" s="1" t="str">
        <f>VLOOKUP(Tabela1[[#This Row],[Cliente]],'BASE DE CLIENTES'!A:C,3,0)</f>
        <v>DF</v>
      </c>
      <c r="E6313" s="1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3">
        <f>Tabela1[[#This Row],[MARGEM BRUTA]]/Tabela1[[#This Row],[Valor total]]</f>
        <v>0.32983428571428575</v>
      </c>
      <c r="K6313" s="1" t="str">
        <f>VLOOKUP(Tabela1[[#This Row],[Cliente]],'BASE DE CLIENTES'!A:D,4,0)</f>
        <v>EMPRESA SEM MAQUINA</v>
      </c>
      <c r="L6313" s="1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1" t="str">
        <f>VLOOKUP(Tabela1[[#This Row],[Cliente]],'BASE DE CLIENTES'!A:E,2,0)</f>
        <v>Brasília</v>
      </c>
      <c r="D6314" s="1" t="str">
        <f>VLOOKUP(Tabela1[[#This Row],[Cliente]],'BASE DE CLIENTES'!A:C,3,0)</f>
        <v>DF</v>
      </c>
      <c r="E6314" s="1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3">
        <f>Tabela1[[#This Row],[MARGEM BRUTA]]/Tabela1[[#This Row],[Valor total]]</f>
        <v>0.35538461538461541</v>
      </c>
      <c r="K6314" s="1" t="str">
        <f>VLOOKUP(Tabela1[[#This Row],[Cliente]],'BASE DE CLIENTES'!A:D,4,0)</f>
        <v>EMPRESA SEM MAQUINA</v>
      </c>
      <c r="L6314" s="1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1" t="str">
        <f>VLOOKUP(Tabela1[[#This Row],[Cliente]],'BASE DE CLIENTES'!A:E,2,0)</f>
        <v>Brasília</v>
      </c>
      <c r="D6315" s="1" t="str">
        <f>VLOOKUP(Tabela1[[#This Row],[Cliente]],'BASE DE CLIENTES'!A:C,3,0)</f>
        <v>DF</v>
      </c>
      <c r="E6315" s="1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3">
        <f>Tabela1[[#This Row],[MARGEM BRUTA]]/Tabela1[[#This Row],[Valor total]]</f>
        <v>0.36333333333333334</v>
      </c>
      <c r="K6315" s="1" t="str">
        <f>VLOOKUP(Tabela1[[#This Row],[Cliente]],'BASE DE CLIENTES'!A:D,4,0)</f>
        <v>CHAVEIRO</v>
      </c>
      <c r="L6315" s="1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1" t="str">
        <f>VLOOKUP(Tabela1[[#This Row],[Cliente]],'BASE DE CLIENTES'!A:E,2,0)</f>
        <v>Brasília</v>
      </c>
      <c r="D6316" s="1" t="str">
        <f>VLOOKUP(Tabela1[[#This Row],[Cliente]],'BASE DE CLIENTES'!A:C,3,0)</f>
        <v>DF</v>
      </c>
      <c r="E6316" s="1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3">
        <f>Tabela1[[#This Row],[MARGEM BRUTA]]/Tabela1[[#This Row],[Valor total]]</f>
        <v>0.40312500000000001</v>
      </c>
      <c r="K6316" s="1" t="str">
        <f>VLOOKUP(Tabela1[[#This Row],[Cliente]],'BASE DE CLIENTES'!A:D,4,0)</f>
        <v>CLIENTE NOVO S/ IDENT.</v>
      </c>
      <c r="L6316" s="1" t="str">
        <f>VLOOKUP(Tabela1[[#This Row],[Cliente]],'BASE DE CLIENTES'!A:E,5,0)</f>
        <v>TAGUATINGA</v>
      </c>
    </row>
    <row r="6317" spans="2:12" x14ac:dyDescent="0.3">
      <c r="B6317" t="s">
        <v>27</v>
      </c>
      <c r="C6317" s="1" t="str">
        <f>VLOOKUP(Tabela1[[#This Row],[Cliente]],'BASE DE CLIENTES'!A:E,2,0)</f>
        <v>Brasília</v>
      </c>
      <c r="D6317" s="1" t="str">
        <f>VLOOKUP(Tabela1[[#This Row],[Cliente]],'BASE DE CLIENTES'!A:C,3,0)</f>
        <v>DF</v>
      </c>
      <c r="E6317" s="1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3">
        <f>Tabela1[[#This Row],[MARGEM BRUTA]]/Tabela1[[#This Row],[Valor total]]</f>
        <v>0.38211382113821141</v>
      </c>
      <c r="K6317" s="1" t="str">
        <f>VLOOKUP(Tabela1[[#This Row],[Cliente]],'BASE DE CLIENTES'!A:D,4,0)</f>
        <v>EMPRESA SEM MAQUINA</v>
      </c>
      <c r="L6317" s="1" t="str">
        <f>VLOOKUP(Tabela1[[#This Row],[Cliente]],'BASE DE CLIENTES'!A:E,5,0)</f>
        <v>RECANTO DAS EMAS</v>
      </c>
    </row>
    <row r="6318" spans="2:12" x14ac:dyDescent="0.3">
      <c r="B6318" t="s">
        <v>112</v>
      </c>
      <c r="C6318" s="1" t="str">
        <f>VLOOKUP(Tabela1[[#This Row],[Cliente]],'BASE DE CLIENTES'!A:E,2,0)</f>
        <v>Brasília</v>
      </c>
      <c r="D6318" s="1" t="str">
        <f>VLOOKUP(Tabela1[[#This Row],[Cliente]],'BASE DE CLIENTES'!A:C,3,0)</f>
        <v>DF</v>
      </c>
      <c r="E6318" s="1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3">
        <f>Tabela1[[#This Row],[MARGEM BRUTA]]/Tabela1[[#This Row],[Valor total]]</f>
        <v>0.4</v>
      </c>
      <c r="K6318" s="1" t="str">
        <f>VLOOKUP(Tabela1[[#This Row],[Cliente]],'BASE DE CLIENTES'!A:D,4,0)</f>
        <v>SERRALHEIRO</v>
      </c>
      <c r="L6318" s="1" t="str">
        <f>VLOOKUP(Tabela1[[#This Row],[Cliente]],'BASE DE CLIENTES'!A:E,5,0)</f>
        <v>RIACHO FUNDO I</v>
      </c>
    </row>
    <row r="6319" spans="2:12" x14ac:dyDescent="0.3">
      <c r="B6319" t="s">
        <v>111</v>
      </c>
      <c r="C6319" s="1" t="str">
        <f>VLOOKUP(Tabela1[[#This Row],[Cliente]],'BASE DE CLIENTES'!A:E,2,0)</f>
        <v>Brasília</v>
      </c>
      <c r="D6319" s="1" t="str">
        <f>VLOOKUP(Tabela1[[#This Row],[Cliente]],'BASE DE CLIENTES'!A:C,3,0)</f>
        <v>DF</v>
      </c>
      <c r="E6319" s="1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3">
        <f>Tabela1[[#This Row],[MARGEM BRUTA]]/Tabela1[[#This Row],[Valor total]]</f>
        <v>0.33392366412213742</v>
      </c>
      <c r="K6319" s="1" t="str">
        <f>VLOOKUP(Tabela1[[#This Row],[Cliente]],'BASE DE CLIENTES'!A:D,4,0)</f>
        <v>EMPRESA SEM MAQUINA</v>
      </c>
      <c r="L6319" s="1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1" t="str">
        <f>VLOOKUP(Tabela1[[#This Row],[Cliente]],'BASE DE CLIENTES'!A:E,2,0)</f>
        <v>Brasília</v>
      </c>
      <c r="D6320" s="1" t="str">
        <f>VLOOKUP(Tabela1[[#This Row],[Cliente]],'BASE DE CLIENTES'!A:C,3,0)</f>
        <v>DF</v>
      </c>
      <c r="E6320" s="1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3">
        <f>Tabela1[[#This Row],[MARGEM BRUTA]]/Tabela1[[#This Row],[Valor total]]</f>
        <v>0.52</v>
      </c>
      <c r="K6320" s="1" t="str">
        <f>VLOOKUP(Tabela1[[#This Row],[Cliente]],'BASE DE CLIENTES'!A:D,4,0)</f>
        <v>EMPRESA COM MAQUINA</v>
      </c>
      <c r="L6320" s="1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1" t="str">
        <f>VLOOKUP(Tabela1[[#This Row],[Cliente]],'BASE DE CLIENTES'!A:E,2,0)</f>
        <v>Brasília</v>
      </c>
      <c r="D6321" s="1" t="str">
        <f>VLOOKUP(Tabela1[[#This Row],[Cliente]],'BASE DE CLIENTES'!A:C,3,0)</f>
        <v>DF</v>
      </c>
      <c r="E6321" s="1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3">
        <f>Tabela1[[#This Row],[MARGEM BRUTA]]/Tabela1[[#This Row],[Valor total]]</f>
        <v>0.4</v>
      </c>
      <c r="K6321" s="1" t="str">
        <f>VLOOKUP(Tabela1[[#This Row],[Cliente]],'BASE DE CLIENTES'!A:D,4,0)</f>
        <v>EMPRESA SEM MAQUINA</v>
      </c>
      <c r="L6321" s="1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1" t="str">
        <f>VLOOKUP(Tabela1[[#This Row],[Cliente]],'BASE DE CLIENTES'!A:E,2,0)</f>
        <v>Brasília</v>
      </c>
      <c r="D6322" s="1" t="str">
        <f>VLOOKUP(Tabela1[[#This Row],[Cliente]],'BASE DE CLIENTES'!A:C,3,0)</f>
        <v>DF</v>
      </c>
      <c r="E6322" s="1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3">
        <f>Tabela1[[#This Row],[MARGEM BRUTA]]/Tabela1[[#This Row],[Valor total]]</f>
        <v>0.41538461538461541</v>
      </c>
      <c r="K6322" s="1" t="str">
        <f>VLOOKUP(Tabela1[[#This Row],[Cliente]],'BASE DE CLIENTES'!A:D,4,0)</f>
        <v>SERRALHEIRO</v>
      </c>
      <c r="L6322" s="1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1" t="str">
        <f>VLOOKUP(Tabela1[[#This Row],[Cliente]],'BASE DE CLIENTES'!A:E,2,0)</f>
        <v>Brasília</v>
      </c>
      <c r="D6323" s="1" t="str">
        <f>VLOOKUP(Tabela1[[#This Row],[Cliente]],'BASE DE CLIENTES'!A:C,3,0)</f>
        <v>DF</v>
      </c>
      <c r="E6323" s="1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3">
        <f>Tabela1[[#This Row],[MARGEM BRUTA]]/Tabela1[[#This Row],[Valor total]]</f>
        <v>0.28529323308270682</v>
      </c>
      <c r="K6323" s="1" t="str">
        <f>VLOOKUP(Tabela1[[#This Row],[Cliente]],'BASE DE CLIENTES'!A:D,4,0)</f>
        <v>EMPRESA SEM MAQUINA</v>
      </c>
      <c r="L6323" s="1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1" t="str">
        <f>VLOOKUP(Tabela1[[#This Row],[Cliente]],'BASE DE CLIENTES'!A:E,2,0)</f>
        <v>Brasília</v>
      </c>
      <c r="D6324" s="1" t="str">
        <f>VLOOKUP(Tabela1[[#This Row],[Cliente]],'BASE DE CLIENTES'!A:C,3,0)</f>
        <v>DF</v>
      </c>
      <c r="E6324" s="1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3">
        <f>Tabela1[[#This Row],[MARGEM BRUTA]]/Tabela1[[#This Row],[Valor total]]</f>
        <v>0.1646551724137931</v>
      </c>
      <c r="K6324" s="1" t="str">
        <f>VLOOKUP(Tabela1[[#This Row],[Cliente]],'BASE DE CLIENTES'!A:D,4,0)</f>
        <v>EMPRESA COM MAQUINA</v>
      </c>
      <c r="L6324" s="1" t="str">
        <f>VLOOKUP(Tabela1[[#This Row],[Cliente]],'BASE DE CLIENTES'!A:E,5,0)</f>
        <v>RIACHO FUNDO II</v>
      </c>
    </row>
    <row r="6325" spans="2:12" x14ac:dyDescent="0.3">
      <c r="B6325" t="s">
        <v>260</v>
      </c>
      <c r="C6325" s="1" t="str">
        <f>VLOOKUP(Tabela1[[#This Row],[Cliente]],'BASE DE CLIENTES'!A:E,2,0)</f>
        <v>Luziânia</v>
      </c>
      <c r="D6325" s="1" t="str">
        <f>VLOOKUP(Tabela1[[#This Row],[Cliente]],'BASE DE CLIENTES'!A:C,3,0)</f>
        <v>GO</v>
      </c>
      <c r="E6325" s="1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3">
        <f>Tabela1[[#This Row],[MARGEM BRUTA]]/Tabela1[[#This Row],[Valor total]]</f>
        <v>7.7457627118644068E-2</v>
      </c>
      <c r="K6325" s="1" t="str">
        <f>VLOOKUP(Tabela1[[#This Row],[Cliente]],'BASE DE CLIENTES'!A:D,4,0)</f>
        <v>SERRALHEIRO</v>
      </c>
      <c r="L6325" s="1" t="str">
        <f>VLOOKUP(Tabela1[[#This Row],[Cliente]],'BASE DE CLIENTES'!A:E,5,0)</f>
        <v>Luziânia</v>
      </c>
    </row>
    <row r="6326" spans="2:12" x14ac:dyDescent="0.3">
      <c r="B6326" t="s">
        <v>1205</v>
      </c>
      <c r="C6326" s="1" t="str">
        <f>VLOOKUP(Tabela1[[#This Row],[Cliente]],'BASE DE CLIENTES'!A:E,2,0)</f>
        <v>São Paulo</v>
      </c>
      <c r="D6326" s="1" t="str">
        <f>VLOOKUP(Tabela1[[#This Row],[Cliente]],'BASE DE CLIENTES'!A:C,3,0)</f>
        <v>SP</v>
      </c>
      <c r="E6326" s="1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3">
        <f>Tabela1[[#This Row],[MARGEM BRUTA]]/Tabela1[[#This Row],[Valor total]]</f>
        <v>0.38962655935613677</v>
      </c>
      <c r="K6326" s="1" t="str">
        <f>VLOOKUP(Tabela1[[#This Row],[Cliente]],'BASE DE CLIENTES'!A:D,4,0)</f>
        <v>CLIENTE NOVO S/ IDENT.</v>
      </c>
      <c r="L6326" s="1" t="str">
        <f>VLOOKUP(Tabela1[[#This Row],[Cliente]],'BASE DE CLIENTES'!A:E,5,0)</f>
        <v>São Paulo</v>
      </c>
    </row>
    <row r="6327" spans="2:12" x14ac:dyDescent="0.3">
      <c r="B6327" t="s">
        <v>1223</v>
      </c>
      <c r="C6327" s="1" t="str">
        <f>VLOOKUP(Tabela1[[#This Row],[Cliente]],'BASE DE CLIENTES'!A:E,2,0)</f>
        <v>MERCADO LIVRE</v>
      </c>
      <c r="D6327" s="1" t="str">
        <f>VLOOKUP(Tabela1[[#This Row],[Cliente]],'BASE DE CLIENTES'!A:C,3,0)</f>
        <v>MERCADO LIVRE</v>
      </c>
      <c r="E6327" s="1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3">
        <f>Tabela1[[#This Row],[MARGEM BRUTA]]/Tabela1[[#This Row],[Valor total]]</f>
        <v>0.7081064260152482</v>
      </c>
      <c r="K6327" s="1" t="str">
        <f>VLOOKUP(Tabela1[[#This Row],[Cliente]],'BASE DE CLIENTES'!A:D,4,0)</f>
        <v>OUTROS RAMOS</v>
      </c>
      <c r="L6327" s="1" t="str">
        <f>VLOOKUP(Tabela1[[#This Row],[Cliente]],'BASE DE CLIENTES'!A:E,5,0)</f>
        <v>MERCADO LIVRE</v>
      </c>
    </row>
    <row r="6328" spans="2:12" x14ac:dyDescent="0.3">
      <c r="B6328" t="s">
        <v>1223</v>
      </c>
      <c r="C6328" s="1" t="str">
        <f>VLOOKUP(Tabela1[[#This Row],[Cliente]],'BASE DE CLIENTES'!A:E,2,0)</f>
        <v>MERCADO LIVRE</v>
      </c>
      <c r="D6328" s="1" t="str">
        <f>VLOOKUP(Tabela1[[#This Row],[Cliente]],'BASE DE CLIENTES'!A:C,3,0)</f>
        <v>MERCADO LIVRE</v>
      </c>
      <c r="E6328" s="1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3">
        <f>Tabela1[[#This Row],[MARGEM BRUTA]]/Tabela1[[#This Row],[Valor total]]</f>
        <v>0.43302622253720763</v>
      </c>
      <c r="K6328" s="1" t="str">
        <f>VLOOKUP(Tabela1[[#This Row],[Cliente]],'BASE DE CLIENTES'!A:D,4,0)</f>
        <v>OUTROS RAMOS</v>
      </c>
      <c r="L6328" s="1" t="str">
        <f>VLOOKUP(Tabela1[[#This Row],[Cliente]],'BASE DE CLIENTES'!A:E,5,0)</f>
        <v>MERCADO LIVRE</v>
      </c>
    </row>
    <row r="6329" spans="2:12" x14ac:dyDescent="0.3">
      <c r="B6329" t="s">
        <v>343</v>
      </c>
      <c r="C6329" s="1" t="str">
        <f>VLOOKUP(Tabela1[[#This Row],[Cliente]],'BASE DE CLIENTES'!A:E,2,0)</f>
        <v>Brasília</v>
      </c>
      <c r="D6329" s="1" t="str">
        <f>VLOOKUP(Tabela1[[#This Row],[Cliente]],'BASE DE CLIENTES'!A:C,3,0)</f>
        <v>DF</v>
      </c>
      <c r="E6329" s="1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3">
        <f>Tabela1[[#This Row],[MARGEM BRUTA]]/Tabela1[[#This Row],[Valor total]]</f>
        <v>0.4</v>
      </c>
      <c r="K6329" s="1" t="str">
        <f>VLOOKUP(Tabela1[[#This Row],[Cliente]],'BASE DE CLIENTES'!A:D,4,0)</f>
        <v>CLIENTE NOVO S/ IDENT.</v>
      </c>
      <c r="L6329" s="1" t="str">
        <f>VLOOKUP(Tabela1[[#This Row],[Cliente]],'BASE DE CLIENTES'!A:E,5,0)</f>
        <v>Brasília</v>
      </c>
    </row>
    <row r="6330" spans="2:12" x14ac:dyDescent="0.3">
      <c r="B6330" t="s">
        <v>343</v>
      </c>
      <c r="C6330" s="1" t="str">
        <f>VLOOKUP(Tabela1[[#This Row],[Cliente]],'BASE DE CLIENTES'!A:E,2,0)</f>
        <v>Brasília</v>
      </c>
      <c r="D6330" s="1" t="str">
        <f>VLOOKUP(Tabela1[[#This Row],[Cliente]],'BASE DE CLIENTES'!A:C,3,0)</f>
        <v>DF</v>
      </c>
      <c r="E6330" s="1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3">
        <f>Tabela1[[#This Row],[MARGEM BRUTA]]/Tabela1[[#This Row],[Valor total]]</f>
        <v>0.5</v>
      </c>
      <c r="K6330" s="1" t="str">
        <f>VLOOKUP(Tabela1[[#This Row],[Cliente]],'BASE DE CLIENTES'!A:D,4,0)</f>
        <v>CLIENTE NOVO S/ IDENT.</v>
      </c>
      <c r="L6330" s="1" t="str">
        <f>VLOOKUP(Tabela1[[#This Row],[Cliente]],'BASE DE CLIENTES'!A:E,5,0)</f>
        <v>Brasília</v>
      </c>
    </row>
    <row r="6331" spans="2:12" x14ac:dyDescent="0.3">
      <c r="B6331" t="s">
        <v>187</v>
      </c>
      <c r="C6331" s="1" t="str">
        <f>VLOOKUP(Tabela1[[#This Row],[Cliente]],'BASE DE CLIENTES'!A:E,2,0)</f>
        <v>Brasília</v>
      </c>
      <c r="D6331" s="1" t="str">
        <f>VLOOKUP(Tabela1[[#This Row],[Cliente]],'BASE DE CLIENTES'!A:C,3,0)</f>
        <v>DF</v>
      </c>
      <c r="E6331" s="1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3">
        <f>Tabela1[[#This Row],[MARGEM BRUTA]]/Tabela1[[#This Row],[Valor total]]</f>
        <v>0.41666666666666669</v>
      </c>
      <c r="K6331" s="1" t="str">
        <f>VLOOKUP(Tabela1[[#This Row],[Cliente]],'BASE DE CLIENTES'!A:D,4,0)</f>
        <v>SERRALHEIRO</v>
      </c>
      <c r="L6331" s="1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1" t="str">
        <f>VLOOKUP(Tabela1[[#This Row],[Cliente]],'BASE DE CLIENTES'!A:E,2,0)</f>
        <v>Brasília</v>
      </c>
      <c r="D6332" s="1" t="str">
        <f>VLOOKUP(Tabela1[[#This Row],[Cliente]],'BASE DE CLIENTES'!A:C,3,0)</f>
        <v>DF</v>
      </c>
      <c r="E6332" s="1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3">
        <f>Tabela1[[#This Row],[MARGEM BRUTA]]/Tabela1[[#This Row],[Valor total]]</f>
        <v>0.35085714285714287</v>
      </c>
      <c r="K6332" s="1" t="str">
        <f>VLOOKUP(Tabela1[[#This Row],[Cliente]],'BASE DE CLIENTES'!A:D,4,0)</f>
        <v>EMPRESA COM MAQUINA</v>
      </c>
      <c r="L6332" s="1" t="str">
        <f>VLOOKUP(Tabela1[[#This Row],[Cliente]],'BASE DE CLIENTES'!A:E,5,0)</f>
        <v>ADE ÁGUAS CLARAS</v>
      </c>
    </row>
    <row r="6333" spans="2:12" x14ac:dyDescent="0.3">
      <c r="B6333" t="s">
        <v>66</v>
      </c>
      <c r="C6333" s="1" t="str">
        <f>VLOOKUP(Tabela1[[#This Row],[Cliente]],'BASE DE CLIENTES'!A:E,2,0)</f>
        <v>Águas Lindas de Goiás</v>
      </c>
      <c r="D6333" s="1" t="str">
        <f>VLOOKUP(Tabela1[[#This Row],[Cliente]],'BASE DE CLIENTES'!A:C,3,0)</f>
        <v>GO</v>
      </c>
      <c r="E6333" s="1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3">
        <f>Tabela1[[#This Row],[MARGEM BRUTA]]/Tabela1[[#This Row],[Valor total]]</f>
        <v>0.3715057471264368</v>
      </c>
      <c r="K6333" s="1" t="str">
        <f>VLOOKUP(Tabela1[[#This Row],[Cliente]],'BASE DE CLIENTES'!A:D,4,0)</f>
        <v>EMPRESA COM MAQUINA</v>
      </c>
      <c r="L6333" s="1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1" t="str">
        <f>VLOOKUP(Tabela1[[#This Row],[Cliente]],'BASE DE CLIENTES'!A:E,2,0)</f>
        <v>Brasília</v>
      </c>
      <c r="D6334" s="1" t="str">
        <f>VLOOKUP(Tabela1[[#This Row],[Cliente]],'BASE DE CLIENTES'!A:C,3,0)</f>
        <v>DF</v>
      </c>
      <c r="E6334" s="1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3">
        <f>Tabela1[[#This Row],[MARGEM BRUTA]]/Tabela1[[#This Row],[Valor total]]</f>
        <v>0.35538461538461541</v>
      </c>
      <c r="K6334" s="1" t="str">
        <f>VLOOKUP(Tabela1[[#This Row],[Cliente]],'BASE DE CLIENTES'!A:D,4,0)</f>
        <v>EMPRESA SEM MAQUINA</v>
      </c>
      <c r="L6334" s="1" t="str">
        <f>VLOOKUP(Tabela1[[#This Row],[Cliente]],'BASE DE CLIENTES'!A:E,5,0)</f>
        <v>SAMAMBAIA</v>
      </c>
    </row>
    <row r="6335" spans="2:12" x14ac:dyDescent="0.3">
      <c r="B6335" t="s">
        <v>195</v>
      </c>
      <c r="C6335" s="1" t="str">
        <f>VLOOKUP(Tabela1[[#This Row],[Cliente]],'BASE DE CLIENTES'!A:E,2,0)</f>
        <v>Goiânia</v>
      </c>
      <c r="D6335" s="1" t="str">
        <f>VLOOKUP(Tabela1[[#This Row],[Cliente]],'BASE DE CLIENTES'!A:C,3,0)</f>
        <v>GO</v>
      </c>
      <c r="E6335" s="1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3">
        <f>Tabela1[[#This Row],[MARGEM BRUTA]]/Tabela1[[#This Row],[Valor total]]</f>
        <v>0.23076923076923078</v>
      </c>
      <c r="K6335" s="1" t="str">
        <f>VLOOKUP(Tabela1[[#This Row],[Cliente]],'BASE DE CLIENTES'!A:D,4,0)</f>
        <v>EMPRESA COM MAQUINA</v>
      </c>
      <c r="L6335" s="1" t="str">
        <f>VLOOKUP(Tabela1[[#This Row],[Cliente]],'BASE DE CLIENTES'!A:E,5,0)</f>
        <v>Goiânia</v>
      </c>
    </row>
    <row r="6336" spans="2:12" x14ac:dyDescent="0.3">
      <c r="B6336" t="s">
        <v>1308</v>
      </c>
      <c r="C6336" s="1" t="str">
        <f>VLOOKUP(Tabela1[[#This Row],[Cliente]],'BASE DE CLIENTES'!A:E,2,0)</f>
        <v>Brasília</v>
      </c>
      <c r="D6336" s="1" t="str">
        <f>VLOOKUP(Tabela1[[#This Row],[Cliente]],'BASE DE CLIENTES'!A:C,3,0)</f>
        <v>DF</v>
      </c>
      <c r="E6336" s="1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3">
        <f>Tabela1[[#This Row],[MARGEM BRUTA]]/Tabela1[[#This Row],[Valor total]]</f>
        <v>0.88636363636363635</v>
      </c>
      <c r="K6336" s="1" t="str">
        <f>VLOOKUP(Tabela1[[#This Row],[Cliente]],'BASE DE CLIENTES'!A:D,4,0)</f>
        <v>CLIENTE NOVO S/ IDENT.</v>
      </c>
      <c r="L6336" s="1" t="str">
        <f>VLOOKUP(Tabela1[[#This Row],[Cliente]],'BASE DE CLIENTES'!A:E,5,0)</f>
        <v>S IA</v>
      </c>
    </row>
    <row r="6337" spans="2:12" x14ac:dyDescent="0.3">
      <c r="B6337" t="s">
        <v>222</v>
      </c>
      <c r="C6337" s="1" t="str">
        <f>VLOOKUP(Tabela1[[#This Row],[Cliente]],'BASE DE CLIENTES'!A:E,2,0)</f>
        <v>Goiânia</v>
      </c>
      <c r="D6337" s="1" t="str">
        <f>VLOOKUP(Tabela1[[#This Row],[Cliente]],'BASE DE CLIENTES'!A:C,3,0)</f>
        <v>GO</v>
      </c>
      <c r="E6337" s="1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3">
        <f>Tabela1[[#This Row],[MARGEM BRUTA]]/Tabela1[[#This Row],[Valor total]]</f>
        <v>0.24032812500000006</v>
      </c>
      <c r="K6337" s="1" t="str">
        <f>VLOOKUP(Tabela1[[#This Row],[Cliente]],'BASE DE CLIENTES'!A:D,4,0)</f>
        <v>EMPRESA COM MAQUINA</v>
      </c>
      <c r="L6337" s="1" t="str">
        <f>VLOOKUP(Tabela1[[#This Row],[Cliente]],'BASE DE CLIENTES'!A:E,5,0)</f>
        <v>Goiânia</v>
      </c>
    </row>
    <row r="6338" spans="2:12" x14ac:dyDescent="0.3">
      <c r="B6338" t="s">
        <v>1223</v>
      </c>
      <c r="C6338" s="1" t="str">
        <f>VLOOKUP(Tabela1[[#This Row],[Cliente]],'BASE DE CLIENTES'!A:E,2,0)</f>
        <v>MERCADO LIVRE</v>
      </c>
      <c r="D6338" s="1" t="str">
        <f>VLOOKUP(Tabela1[[#This Row],[Cliente]],'BASE DE CLIENTES'!A:C,3,0)</f>
        <v>MERCADO LIVRE</v>
      </c>
      <c r="E6338" s="1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3">
        <f>Tabela1[[#This Row],[MARGEM BRUTA]]/Tabela1[[#This Row],[Valor total]]</f>
        <v>0.6056016506431362</v>
      </c>
      <c r="K6338" s="1" t="str">
        <f>VLOOKUP(Tabela1[[#This Row],[Cliente]],'BASE DE CLIENTES'!A:D,4,0)</f>
        <v>OUTROS RAMOS</v>
      </c>
      <c r="L6338" s="1" t="str">
        <f>VLOOKUP(Tabela1[[#This Row],[Cliente]],'BASE DE CLIENTES'!A:E,5,0)</f>
        <v>MERCADO LIVRE</v>
      </c>
    </row>
    <row r="6339" spans="2:12" x14ac:dyDescent="0.3">
      <c r="B6339" t="s">
        <v>23</v>
      </c>
      <c r="C6339" s="1" t="str">
        <f>VLOOKUP(Tabela1[[#This Row],[Cliente]],'BASE DE CLIENTES'!A:E,2,0)</f>
        <v>Brasília</v>
      </c>
      <c r="D6339" s="1" t="str">
        <f>VLOOKUP(Tabela1[[#This Row],[Cliente]],'BASE DE CLIENTES'!A:C,3,0)</f>
        <v>DF</v>
      </c>
      <c r="E6339" s="1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3">
        <f>Tabela1[[#This Row],[MARGEM BRUTA]]/Tabela1[[#This Row],[Valor total]]</f>
        <v>0.32921447484554278</v>
      </c>
      <c r="K6339" s="1" t="str">
        <f>VLOOKUP(Tabela1[[#This Row],[Cliente]],'BASE DE CLIENTES'!A:D,4,0)</f>
        <v>EMPRESA SEM MAQUINA</v>
      </c>
      <c r="L6339" s="1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1" t="str">
        <f>VLOOKUP(Tabela1[[#This Row],[Cliente]],'BASE DE CLIENTES'!A:E,2,0)</f>
        <v>Brasília</v>
      </c>
      <c r="D6340" s="1" t="str">
        <f>VLOOKUP(Tabela1[[#This Row],[Cliente]],'BASE DE CLIENTES'!A:C,3,0)</f>
        <v>DF</v>
      </c>
      <c r="E6340" s="1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3">
        <f>Tabela1[[#This Row],[MARGEM BRUTA]]/Tabela1[[#This Row],[Valor total]]</f>
        <v>0.31746089049338139</v>
      </c>
      <c r="K6340" s="1" t="str">
        <f>VLOOKUP(Tabela1[[#This Row],[Cliente]],'BASE DE CLIENTES'!A:D,4,0)</f>
        <v>EMPRESA COM MAQUINA</v>
      </c>
      <c r="L6340" s="1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1" t="str">
        <f>VLOOKUP(Tabela1[[#This Row],[Cliente]],'BASE DE CLIENTES'!A:E,2,0)</f>
        <v>Valparaíso de Goiás</v>
      </c>
      <c r="D6341" s="1" t="str">
        <f>VLOOKUP(Tabela1[[#This Row],[Cliente]],'BASE DE CLIENTES'!A:C,3,0)</f>
        <v>GO</v>
      </c>
      <c r="E6341" s="1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3">
        <f>Tabela1[[#This Row],[MARGEM BRUTA]]/Tabela1[[#This Row],[Valor total]]</f>
        <v>0.44166666666666665</v>
      </c>
      <c r="K6341" s="1" t="str">
        <f>VLOOKUP(Tabela1[[#This Row],[Cliente]],'BASE DE CLIENTES'!A:D,4,0)</f>
        <v>SERRALHEIRO</v>
      </c>
      <c r="L6341" s="1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1" t="str">
        <f>VLOOKUP(Tabela1[[#This Row],[Cliente]],'BASE DE CLIENTES'!A:E,2,0)</f>
        <v>Brasília</v>
      </c>
      <c r="D6342" s="1" t="str">
        <f>VLOOKUP(Tabela1[[#This Row],[Cliente]],'BASE DE CLIENTES'!A:C,3,0)</f>
        <v>DF</v>
      </c>
      <c r="E6342" s="1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3">
        <f>Tabela1[[#This Row],[MARGEM BRUTA]]/Tabela1[[#This Row],[Valor total]]</f>
        <v>0.39090909090909093</v>
      </c>
      <c r="K6342" s="1" t="str">
        <f>VLOOKUP(Tabela1[[#This Row],[Cliente]],'BASE DE CLIENTES'!A:D,4,0)</f>
        <v>EMPRESA SEM MAQUINA</v>
      </c>
      <c r="L6342" s="1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1" t="str">
        <f>VLOOKUP(Tabela1[[#This Row],[Cliente]],'BASE DE CLIENTES'!A:E,2,0)</f>
        <v>Brasília</v>
      </c>
      <c r="D6343" s="1" t="str">
        <f>VLOOKUP(Tabela1[[#This Row],[Cliente]],'BASE DE CLIENTES'!A:C,3,0)</f>
        <v>DF</v>
      </c>
      <c r="E6343" s="1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3">
        <f>Tabela1[[#This Row],[MARGEM BRUTA]]/Tabela1[[#This Row],[Valor total]]</f>
        <v>0.38</v>
      </c>
      <c r="K6343" s="1" t="str">
        <f>VLOOKUP(Tabela1[[#This Row],[Cliente]],'BASE DE CLIENTES'!A:D,4,0)</f>
        <v>CLIENTE NOVO S/ IDENT.</v>
      </c>
      <c r="L6343" s="1" t="str">
        <f>VLOOKUP(Tabela1[[#This Row],[Cliente]],'BASE DE CLIENTES'!A:E,5,0)</f>
        <v>RECANTO DAS EMAS</v>
      </c>
    </row>
    <row r="6344" spans="2:12" x14ac:dyDescent="0.3">
      <c r="B6344" t="s">
        <v>76</v>
      </c>
      <c r="C6344" s="1" t="str">
        <f>VLOOKUP(Tabela1[[#This Row],[Cliente]],'BASE DE CLIENTES'!A:E,2,0)</f>
        <v>Brasília</v>
      </c>
      <c r="D6344" s="1" t="str">
        <f>VLOOKUP(Tabela1[[#This Row],[Cliente]],'BASE DE CLIENTES'!A:C,3,0)</f>
        <v>DF</v>
      </c>
      <c r="E6344" s="1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3">
        <f>Tabela1[[#This Row],[MARGEM BRUTA]]/Tabela1[[#This Row],[Valor total]]</f>
        <v>0.33566433566433568</v>
      </c>
      <c r="K6344" s="1" t="str">
        <f>VLOOKUP(Tabela1[[#This Row],[Cliente]],'BASE DE CLIENTES'!A:D,4,0)</f>
        <v>EMPRESA COM MAQUINA</v>
      </c>
      <c r="L6344" s="1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1" t="str">
        <f>VLOOKUP(Tabela1[[#This Row],[Cliente]],'BASE DE CLIENTES'!A:E,2,0)</f>
        <v>Brasília</v>
      </c>
      <c r="D6345" s="1" t="str">
        <f>VLOOKUP(Tabela1[[#This Row],[Cliente]],'BASE DE CLIENTES'!A:C,3,0)</f>
        <v>DF</v>
      </c>
      <c r="E6345" s="1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3">
        <f>Tabela1[[#This Row],[MARGEM BRUTA]]/Tabela1[[#This Row],[Valor total]]</f>
        <v>0.30052857142857137</v>
      </c>
      <c r="K6345" s="1" t="str">
        <f>VLOOKUP(Tabela1[[#This Row],[Cliente]],'BASE DE CLIENTES'!A:D,4,0)</f>
        <v>CLIENTE NOVO S/ IDENT.</v>
      </c>
      <c r="L6345" s="1" t="str">
        <f>VLOOKUP(Tabela1[[#This Row],[Cliente]],'BASE DE CLIENTES'!A:E,5,0)</f>
        <v>TAGUATINGA</v>
      </c>
    </row>
    <row r="6346" spans="2:12" x14ac:dyDescent="0.3">
      <c r="B6346" t="s">
        <v>20</v>
      </c>
      <c r="C6346" s="1" t="str">
        <f>VLOOKUP(Tabela1[[#This Row],[Cliente]],'BASE DE CLIENTES'!A:E,2,0)</f>
        <v>Brasília</v>
      </c>
      <c r="D6346" s="1" t="str">
        <f>VLOOKUP(Tabela1[[#This Row],[Cliente]],'BASE DE CLIENTES'!A:C,3,0)</f>
        <v>DF</v>
      </c>
      <c r="E6346" s="1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3">
        <f>Tabela1[[#This Row],[MARGEM BRUTA]]/Tabela1[[#This Row],[Valor total]]</f>
        <v>0.68166666666666664</v>
      </c>
      <c r="K6346" s="1" t="str">
        <f>VLOOKUP(Tabela1[[#This Row],[Cliente]],'BASE DE CLIENTES'!A:D,4,0)</f>
        <v>CHAVEIRO</v>
      </c>
      <c r="L6346" s="1" t="str">
        <f>VLOOKUP(Tabela1[[#This Row],[Cliente]],'BASE DE CLIENTES'!A:E,5,0)</f>
        <v>NA</v>
      </c>
    </row>
    <row r="6347" spans="2:12" x14ac:dyDescent="0.3">
      <c r="B6347" t="s">
        <v>30</v>
      </c>
      <c r="C6347" s="1" t="str">
        <f>VLOOKUP(Tabela1[[#This Row],[Cliente]],'BASE DE CLIENTES'!A:E,2,0)</f>
        <v>Águas Lindas de Goiás</v>
      </c>
      <c r="D6347" s="1" t="str">
        <f>VLOOKUP(Tabela1[[#This Row],[Cliente]],'BASE DE CLIENTES'!A:C,3,0)</f>
        <v>GO</v>
      </c>
      <c r="E6347" s="1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3">
        <f>Tabela1[[#This Row],[MARGEM BRUTA]]/Tabela1[[#This Row],[Valor total]]</f>
        <v>0.30555555555555558</v>
      </c>
      <c r="K6347" s="1" t="str">
        <f>VLOOKUP(Tabela1[[#This Row],[Cliente]],'BASE DE CLIENTES'!A:D,4,0)</f>
        <v>SERRALHEIRO</v>
      </c>
      <c r="L6347" s="1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1" t="str">
        <f>VLOOKUP(Tabela1[[#This Row],[Cliente]],'BASE DE CLIENTES'!A:E,2,0)</f>
        <v>Brasília</v>
      </c>
      <c r="D6348" s="1" t="str">
        <f>VLOOKUP(Tabela1[[#This Row],[Cliente]],'BASE DE CLIENTES'!A:C,3,0)</f>
        <v>DF</v>
      </c>
      <c r="E6348" s="1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3">
        <f>Tabela1[[#This Row],[MARGEM BRUTA]]/Tabela1[[#This Row],[Valor total]]</f>
        <v>0.33004189944134077</v>
      </c>
      <c r="K6348" s="1" t="str">
        <f>VLOOKUP(Tabela1[[#This Row],[Cliente]],'BASE DE CLIENTES'!A:D,4,0)</f>
        <v>EMPRESA COM MAQUINA</v>
      </c>
      <c r="L6348" s="1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1" t="str">
        <f>VLOOKUP(Tabela1[[#This Row],[Cliente]],'BASE DE CLIENTES'!A:E,2,0)</f>
        <v>Caldas Novas</v>
      </c>
      <c r="D6349" s="1" t="str">
        <f>VLOOKUP(Tabela1[[#This Row],[Cliente]],'BASE DE CLIENTES'!A:C,3,0)</f>
        <v>GO</v>
      </c>
      <c r="E6349" s="1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3">
        <f>Tabela1[[#This Row],[MARGEM BRUTA]]/Tabela1[[#This Row],[Valor total]]</f>
        <v>0.3875545702592087</v>
      </c>
      <c r="K6349" s="1" t="str">
        <f>VLOOKUP(Tabela1[[#This Row],[Cliente]],'BASE DE CLIENTES'!A:D,4,0)</f>
        <v>EMPRESA COM MAQUINA</v>
      </c>
      <c r="L6349" s="1" t="str">
        <f>VLOOKUP(Tabela1[[#This Row],[Cliente]],'BASE DE CLIENTES'!A:E,5,0)</f>
        <v>Caldas Novas</v>
      </c>
    </row>
    <row r="6350" spans="2:12" x14ac:dyDescent="0.3">
      <c r="B6350" t="s">
        <v>197</v>
      </c>
      <c r="C6350" s="1" t="str">
        <f>VLOOKUP(Tabela1[[#This Row],[Cliente]],'BASE DE CLIENTES'!A:E,2,0)</f>
        <v>Goiânia</v>
      </c>
      <c r="D6350" s="1" t="str">
        <f>VLOOKUP(Tabela1[[#This Row],[Cliente]],'BASE DE CLIENTES'!A:C,3,0)</f>
        <v>GO</v>
      </c>
      <c r="E6350" s="1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3">
        <f>Tabela1[[#This Row],[MARGEM BRUTA]]/Tabela1[[#This Row],[Valor total]]</f>
        <v>0.37209295774647883</v>
      </c>
      <c r="K6350" s="1" t="str">
        <f>VLOOKUP(Tabela1[[#This Row],[Cliente]],'BASE DE CLIENTES'!A:D,4,0)</f>
        <v>EMPRESA COM MAQUINA</v>
      </c>
      <c r="L6350" s="1" t="str">
        <f>VLOOKUP(Tabela1[[#This Row],[Cliente]],'BASE DE CLIENTES'!A:E,5,0)</f>
        <v>Goiânia</v>
      </c>
    </row>
    <row r="6351" spans="2:12" x14ac:dyDescent="0.3">
      <c r="B6351" t="s">
        <v>1223</v>
      </c>
      <c r="C6351" s="1" t="str">
        <f>VLOOKUP(Tabela1[[#This Row],[Cliente]],'BASE DE CLIENTES'!A:E,2,0)</f>
        <v>MERCADO LIVRE</v>
      </c>
      <c r="D6351" s="1" t="str">
        <f>VLOOKUP(Tabela1[[#This Row],[Cliente]],'BASE DE CLIENTES'!A:C,3,0)</f>
        <v>MERCADO LIVRE</v>
      </c>
      <c r="E6351" s="1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3">
        <f>Tabela1[[#This Row],[MARGEM BRUTA]]/Tabela1[[#This Row],[Valor total]]</f>
        <v>1</v>
      </c>
      <c r="K6351" s="1" t="str">
        <f>VLOOKUP(Tabela1[[#This Row],[Cliente]],'BASE DE CLIENTES'!A:D,4,0)</f>
        <v>OUTROS RAMOS</v>
      </c>
      <c r="L6351" s="1" t="str">
        <f>VLOOKUP(Tabela1[[#This Row],[Cliente]],'BASE DE CLIENTES'!A:E,5,0)</f>
        <v>MERCADO LIVRE</v>
      </c>
    </row>
    <row r="6352" spans="2:12" x14ac:dyDescent="0.3">
      <c r="B6352" t="s">
        <v>1311</v>
      </c>
      <c r="C6352" s="1" t="str">
        <f>VLOOKUP(Tabela1[[#This Row],[Cliente]],'BASE DE CLIENTES'!A:E,2,0)</f>
        <v>Brasília</v>
      </c>
      <c r="D6352" s="1" t="str">
        <f>VLOOKUP(Tabela1[[#This Row],[Cliente]],'BASE DE CLIENTES'!A:C,3,0)</f>
        <v>DF</v>
      </c>
      <c r="E6352" s="1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3">
        <f>Tabela1[[#This Row],[MARGEM BRUTA]]/Tabela1[[#This Row],[Valor total]]</f>
        <v>0.48823157894736841</v>
      </c>
      <c r="K6352" s="1" t="str">
        <f>VLOOKUP(Tabela1[[#This Row],[Cliente]],'BASE DE CLIENTES'!A:D,4,0)</f>
        <v>CLIENTE NOVO S/ IDENT.</v>
      </c>
      <c r="L6352" s="1" t="str">
        <f>VLOOKUP(Tabela1[[#This Row],[Cliente]],'BASE DE CLIENTES'!A:E,5,0)</f>
        <v>GAMA</v>
      </c>
    </row>
    <row r="6353" spans="2:12" x14ac:dyDescent="0.3">
      <c r="B6353" t="s">
        <v>236</v>
      </c>
      <c r="C6353" s="1" t="str">
        <f>VLOOKUP(Tabela1[[#This Row],[Cliente]],'BASE DE CLIENTES'!A:E,2,0)</f>
        <v>Goiânia</v>
      </c>
      <c r="D6353" s="1" t="str">
        <f>VLOOKUP(Tabela1[[#This Row],[Cliente]],'BASE DE CLIENTES'!A:C,3,0)</f>
        <v>GO</v>
      </c>
      <c r="E6353" s="1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3">
        <f>Tabela1[[#This Row],[MARGEM BRUTA]]/Tabela1[[#This Row],[Valor total]]</f>
        <v>0.31268856538509393</v>
      </c>
      <c r="K6353" s="1" t="str">
        <f>VLOOKUP(Tabela1[[#This Row],[Cliente]],'BASE DE CLIENTES'!A:D,4,0)</f>
        <v>EMPRESA COM MAQUINA</v>
      </c>
      <c r="L6353" s="1" t="str">
        <f>VLOOKUP(Tabela1[[#This Row],[Cliente]],'BASE DE CLIENTES'!A:E,5,0)</f>
        <v>Goiânia</v>
      </c>
    </row>
    <row r="6354" spans="2:12" x14ac:dyDescent="0.3">
      <c r="B6354" t="s">
        <v>23</v>
      </c>
      <c r="C6354" s="1" t="str">
        <f>VLOOKUP(Tabela1[[#This Row],[Cliente]],'BASE DE CLIENTES'!A:E,2,0)</f>
        <v>Brasília</v>
      </c>
      <c r="D6354" s="1" t="str">
        <f>VLOOKUP(Tabela1[[#This Row],[Cliente]],'BASE DE CLIENTES'!A:C,3,0)</f>
        <v>DF</v>
      </c>
      <c r="E6354" s="1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3">
        <f>Tabela1[[#This Row],[MARGEM BRUTA]]/Tabela1[[#This Row],[Valor total]]</f>
        <v>0.3193548387096774</v>
      </c>
      <c r="K6354" s="1" t="str">
        <f>VLOOKUP(Tabela1[[#This Row],[Cliente]],'BASE DE CLIENTES'!A:D,4,0)</f>
        <v>EMPRESA SEM MAQUINA</v>
      </c>
      <c r="L6354" s="1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1" t="str">
        <f>VLOOKUP(Tabela1[[#This Row],[Cliente]],'BASE DE CLIENTES'!A:E,2,0)</f>
        <v>Brasília</v>
      </c>
      <c r="D6355" s="1" t="str">
        <f>VLOOKUP(Tabela1[[#This Row],[Cliente]],'BASE DE CLIENTES'!A:C,3,0)</f>
        <v>DF</v>
      </c>
      <c r="E6355" s="1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3">
        <f>Tabela1[[#This Row],[MARGEM BRUTA]]/Tabela1[[#This Row],[Valor total]]</f>
        <v>0.49333333333333335</v>
      </c>
      <c r="K6355" s="1" t="str">
        <f>VLOOKUP(Tabela1[[#This Row],[Cliente]],'BASE DE CLIENTES'!A:D,4,0)</f>
        <v>OUTROS RAMOS</v>
      </c>
      <c r="L6355" s="1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1" t="str">
        <f>VLOOKUP(Tabela1[[#This Row],[Cliente]],'BASE DE CLIENTES'!A:E,2,0)</f>
        <v>MERCADO LIVRE</v>
      </c>
      <c r="D6356" s="1" t="str">
        <f>VLOOKUP(Tabela1[[#This Row],[Cliente]],'BASE DE CLIENTES'!A:C,3,0)</f>
        <v>MERCADO LIVRE</v>
      </c>
      <c r="E6356" s="1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3">
        <f>Tabela1[[#This Row],[MARGEM BRUTA]]/Tabela1[[#This Row],[Valor total]]</f>
        <v>0.76088711390576536</v>
      </c>
      <c r="K6356" s="1" t="str">
        <f>VLOOKUP(Tabela1[[#This Row],[Cliente]],'BASE DE CLIENTES'!A:D,4,0)</f>
        <v>OUTROS RAMOS</v>
      </c>
      <c r="L6356" s="1" t="str">
        <f>VLOOKUP(Tabela1[[#This Row],[Cliente]],'BASE DE CLIENTES'!A:E,5,0)</f>
        <v>MERCADO LIVRE</v>
      </c>
    </row>
    <row r="6357" spans="2:12" x14ac:dyDescent="0.3">
      <c r="B6357" t="s">
        <v>1223</v>
      </c>
      <c r="C6357" s="1" t="str">
        <f>VLOOKUP(Tabela1[[#This Row],[Cliente]],'BASE DE CLIENTES'!A:E,2,0)</f>
        <v>MERCADO LIVRE</v>
      </c>
      <c r="D6357" s="1" t="str">
        <f>VLOOKUP(Tabela1[[#This Row],[Cliente]],'BASE DE CLIENTES'!A:C,3,0)</f>
        <v>MERCADO LIVRE</v>
      </c>
      <c r="E6357" s="1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3">
        <f>Tabela1[[#This Row],[MARGEM BRUTA]]/Tabela1[[#This Row],[Valor total]]</f>
        <v>0.43302622253720763</v>
      </c>
      <c r="K6357" s="1" t="str">
        <f>VLOOKUP(Tabela1[[#This Row],[Cliente]],'BASE DE CLIENTES'!A:D,4,0)</f>
        <v>OUTROS RAMOS</v>
      </c>
      <c r="L6357" s="1" t="str">
        <f>VLOOKUP(Tabela1[[#This Row],[Cliente]],'BASE DE CLIENTES'!A:E,5,0)</f>
        <v>MERCADO LIVRE</v>
      </c>
    </row>
    <row r="6358" spans="2:12" x14ac:dyDescent="0.3">
      <c r="B6358" t="s">
        <v>150</v>
      </c>
      <c r="C6358" s="1" t="str">
        <f>VLOOKUP(Tabela1[[#This Row],[Cliente]],'BASE DE CLIENTES'!A:E,2,0)</f>
        <v>Anápolis</v>
      </c>
      <c r="D6358" s="1" t="str">
        <f>VLOOKUP(Tabela1[[#This Row],[Cliente]],'BASE DE CLIENTES'!A:C,3,0)</f>
        <v>GO</v>
      </c>
      <c r="E6358" s="1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3">
        <f>Tabela1[[#This Row],[MARGEM BRUTA]]/Tabela1[[#This Row],[Valor total]]</f>
        <v>0.38135593220338981</v>
      </c>
      <c r="K6358" s="1" t="str">
        <f>VLOOKUP(Tabela1[[#This Row],[Cliente]],'BASE DE CLIENTES'!A:D,4,0)</f>
        <v>EMPRESA COM MAQUINA</v>
      </c>
      <c r="L6358" s="1" t="str">
        <f>VLOOKUP(Tabela1[[#This Row],[Cliente]],'BASE DE CLIENTES'!A:E,5,0)</f>
        <v>Anápolis</v>
      </c>
    </row>
    <row r="6359" spans="2:12" x14ac:dyDescent="0.3">
      <c r="B6359" t="s">
        <v>42</v>
      </c>
      <c r="C6359" s="1" t="str">
        <f>VLOOKUP(Tabela1[[#This Row],[Cliente]],'BASE DE CLIENTES'!A:E,2,0)</f>
        <v>Brasília</v>
      </c>
      <c r="D6359" s="1" t="str">
        <f>VLOOKUP(Tabela1[[#This Row],[Cliente]],'BASE DE CLIENTES'!A:C,3,0)</f>
        <v>DF</v>
      </c>
      <c r="E6359" s="1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3">
        <f>Tabela1[[#This Row],[MARGEM BRUTA]]/Tabela1[[#This Row],[Valor total]]</f>
        <v>0.38001369863013701</v>
      </c>
      <c r="K6359" s="1" t="str">
        <f>VLOOKUP(Tabela1[[#This Row],[Cliente]],'BASE DE CLIENTES'!A:D,4,0)</f>
        <v>EMPRESA SEM MAQUINA</v>
      </c>
      <c r="L6359" s="1" t="str">
        <f>VLOOKUP(Tabela1[[#This Row],[Cliente]],'BASE DE CLIENTES'!A:E,5,0)</f>
        <v>SAMAMBAIA</v>
      </c>
    </row>
    <row r="6360" spans="2:12" x14ac:dyDescent="0.3">
      <c r="B6360" t="s">
        <v>1141</v>
      </c>
      <c r="C6360" s="1" t="str">
        <f>VLOOKUP(Tabela1[[#This Row],[Cliente]],'BASE DE CLIENTES'!A:E,2,0)</f>
        <v>Aparecida de Goiânia</v>
      </c>
      <c r="D6360" s="1" t="str">
        <f>VLOOKUP(Tabela1[[#This Row],[Cliente]],'BASE DE CLIENTES'!A:C,3,0)</f>
        <v>GO</v>
      </c>
      <c r="E6360" s="1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3">
        <f>Tabela1[[#This Row],[MARGEM BRUTA]]/Tabela1[[#This Row],[Valor total]]</f>
        <v>0.58050000000000002</v>
      </c>
      <c r="K6360" s="1" t="str">
        <f>VLOOKUP(Tabela1[[#This Row],[Cliente]],'BASE DE CLIENTES'!A:D,4,0)</f>
        <v>CLIENTE NOVO S/ IDENT.</v>
      </c>
      <c r="L6360" s="1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1" t="str">
        <f>VLOOKUP(Tabela1[[#This Row],[Cliente]],'BASE DE CLIENTES'!A:E,2,0)</f>
        <v>PARANÃ</v>
      </c>
      <c r="D6361" s="1" t="str">
        <f>VLOOKUP(Tabela1[[#This Row],[Cliente]],'BASE DE CLIENTES'!A:C,3,0)</f>
        <v>TO</v>
      </c>
      <c r="E6361" s="1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3">
        <f>Tabela1[[#This Row],[MARGEM BRUTA]]/Tabela1[[#This Row],[Valor total]]</f>
        <v>0.88888888888888884</v>
      </c>
      <c r="K6361" s="1" t="str">
        <f>VLOOKUP(Tabela1[[#This Row],[Cliente]],'BASE DE CLIENTES'!A:D,4,0)</f>
        <v>CLIENTE NOVO S/ IDENT.</v>
      </c>
      <c r="L6361" s="1" t="str">
        <f>VLOOKUP(Tabela1[[#This Row],[Cliente]],'BASE DE CLIENTES'!A:E,5,0)</f>
        <v>PARANÃ</v>
      </c>
    </row>
    <row r="6362" spans="2:12" x14ac:dyDescent="0.3">
      <c r="B6362" t="s">
        <v>299</v>
      </c>
      <c r="C6362" s="1" t="str">
        <f>VLOOKUP(Tabela1[[#This Row],[Cliente]],'BASE DE CLIENTES'!A:E,2,0)</f>
        <v>Santo Antônio Descoberto</v>
      </c>
      <c r="D6362" s="1" t="str">
        <f>VLOOKUP(Tabela1[[#This Row],[Cliente]],'BASE DE CLIENTES'!A:C,3,0)</f>
        <v>GO</v>
      </c>
      <c r="E6362" s="1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3">
        <f>Tabela1[[#This Row],[MARGEM BRUTA]]/Tabela1[[#This Row],[Valor total]]</f>
        <v>0.78285714285714281</v>
      </c>
      <c r="K6362" s="1" t="str">
        <f>VLOOKUP(Tabela1[[#This Row],[Cliente]],'BASE DE CLIENTES'!A:D,4,0)</f>
        <v>SERRALHEIRO</v>
      </c>
      <c r="L6362" s="1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1" t="str">
        <f>VLOOKUP(Tabela1[[#This Row],[Cliente]],'BASE DE CLIENTES'!A:E,2,0)</f>
        <v>Brasília</v>
      </c>
      <c r="D6363" s="1" t="str">
        <f>VLOOKUP(Tabela1[[#This Row],[Cliente]],'BASE DE CLIENTES'!A:C,3,0)</f>
        <v>DF</v>
      </c>
      <c r="E6363" s="1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3">
        <f>Tabela1[[#This Row],[MARGEM BRUTA]]/Tabela1[[#This Row],[Valor total]]</f>
        <v>0.31428571428571428</v>
      </c>
      <c r="K6363" s="1" t="str">
        <f>VLOOKUP(Tabela1[[#This Row],[Cliente]],'BASE DE CLIENTES'!A:D,4,0)</f>
        <v>SEM CLASSIFICAÇÃO</v>
      </c>
      <c r="L6363" s="1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1" t="str">
        <f>VLOOKUP(Tabela1[[#This Row],[Cliente]],'BASE DE CLIENTES'!A:E,2,0)</f>
        <v>Brasília</v>
      </c>
      <c r="D6364" s="1" t="str">
        <f>VLOOKUP(Tabela1[[#This Row],[Cliente]],'BASE DE CLIENTES'!A:C,3,0)</f>
        <v>DF</v>
      </c>
      <c r="E6364" s="1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3">
        <f>Tabela1[[#This Row],[MARGEM BRUTA]]/Tabela1[[#This Row],[Valor total]]</f>
        <v>0.42</v>
      </c>
      <c r="K6364" s="1" t="str">
        <f>VLOOKUP(Tabela1[[#This Row],[Cliente]],'BASE DE CLIENTES'!A:D,4,0)</f>
        <v>SERRALHEIRO</v>
      </c>
      <c r="L6364" s="1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1" t="str">
        <f>VLOOKUP(Tabela1[[#This Row],[Cliente]],'BASE DE CLIENTES'!A:E,2,0)</f>
        <v>Trindade</v>
      </c>
      <c r="D6365" s="1" t="str">
        <f>VLOOKUP(Tabela1[[#This Row],[Cliente]],'BASE DE CLIENTES'!A:C,3,0)</f>
        <v>GO</v>
      </c>
      <c r="E6365" s="1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3">
        <f>Tabela1[[#This Row],[MARGEM BRUTA]]/Tabela1[[#This Row],[Valor total]]</f>
        <v>0.36125519287833824</v>
      </c>
      <c r="K6365" s="1" t="str">
        <f>VLOOKUP(Tabela1[[#This Row],[Cliente]],'BASE DE CLIENTES'!A:D,4,0)</f>
        <v>EMPRESA COM MAQUINA</v>
      </c>
      <c r="L6365" s="1" t="str">
        <f>VLOOKUP(Tabela1[[#This Row],[Cliente]],'BASE DE CLIENTES'!A:E,5,0)</f>
        <v>Trindade</v>
      </c>
    </row>
    <row r="6366" spans="2:12" x14ac:dyDescent="0.3">
      <c r="B6366" t="s">
        <v>140</v>
      </c>
      <c r="C6366" s="1" t="str">
        <f>VLOOKUP(Tabela1[[#This Row],[Cliente]],'BASE DE CLIENTES'!A:E,2,0)</f>
        <v>Brasília</v>
      </c>
      <c r="D6366" s="1" t="str">
        <f>VLOOKUP(Tabela1[[#This Row],[Cliente]],'BASE DE CLIENTES'!A:C,3,0)</f>
        <v>DF</v>
      </c>
      <c r="E6366" s="1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3">
        <f>Tabela1[[#This Row],[MARGEM BRUTA]]/Tabela1[[#This Row],[Valor total]]</f>
        <v>0.31276999999999994</v>
      </c>
      <c r="K6366" s="1" t="str">
        <f>VLOOKUP(Tabela1[[#This Row],[Cliente]],'BASE DE CLIENTES'!A:D,4,0)</f>
        <v>EMPRESA COM MAQUINA</v>
      </c>
      <c r="L6366" s="1" t="str">
        <f>VLOOKUP(Tabela1[[#This Row],[Cliente]],'BASE DE CLIENTES'!A:E,5,0)</f>
        <v>RECANTO DAS EMAS</v>
      </c>
    </row>
    <row r="6367" spans="2:12" x14ac:dyDescent="0.3">
      <c r="B6367" t="s">
        <v>76</v>
      </c>
      <c r="C6367" s="1" t="str">
        <f>VLOOKUP(Tabela1[[#This Row],[Cliente]],'BASE DE CLIENTES'!A:E,2,0)</f>
        <v>Brasília</v>
      </c>
      <c r="D6367" s="1" t="str">
        <f>VLOOKUP(Tabela1[[#This Row],[Cliente]],'BASE DE CLIENTES'!A:C,3,0)</f>
        <v>DF</v>
      </c>
      <c r="E6367" s="1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3">
        <f>Tabela1[[#This Row],[MARGEM BRUTA]]/Tabela1[[#This Row],[Valor total]]</f>
        <v>0.32275906479096494</v>
      </c>
      <c r="K6367" s="1" t="str">
        <f>VLOOKUP(Tabela1[[#This Row],[Cliente]],'BASE DE CLIENTES'!A:D,4,0)</f>
        <v>EMPRESA COM MAQUINA</v>
      </c>
      <c r="L6367" s="1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1" t="str">
        <f>VLOOKUP(Tabela1[[#This Row],[Cliente]],'BASE DE CLIENTES'!A:E,2,0)</f>
        <v>Brasília</v>
      </c>
      <c r="D6368" s="1" t="str">
        <f>VLOOKUP(Tabela1[[#This Row],[Cliente]],'BASE DE CLIENTES'!A:C,3,0)</f>
        <v>DF</v>
      </c>
      <c r="E6368" s="1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3">
        <f>Tabela1[[#This Row],[MARGEM BRUTA]]/Tabela1[[#This Row],[Valor total]]</f>
        <v>0.38730303030303032</v>
      </c>
      <c r="K6368" s="1" t="str">
        <f>VLOOKUP(Tabela1[[#This Row],[Cliente]],'BASE DE CLIENTES'!A:D,4,0)</f>
        <v>SERRALHEIRO</v>
      </c>
      <c r="L6368" s="1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1" t="str">
        <f>VLOOKUP(Tabela1[[#This Row],[Cliente]],'BASE DE CLIENTES'!A:E,2,0)</f>
        <v>Águas Lindas de Goiás</v>
      </c>
      <c r="D6369" s="1" t="str">
        <f>VLOOKUP(Tabela1[[#This Row],[Cliente]],'BASE DE CLIENTES'!A:C,3,0)</f>
        <v>GO</v>
      </c>
      <c r="E6369" s="1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3">
        <f>Tabela1[[#This Row],[MARGEM BRUTA]]/Tabela1[[#This Row],[Valor total]]</f>
        <v>0.369968253968254</v>
      </c>
      <c r="K6369" s="1" t="str">
        <f>VLOOKUP(Tabela1[[#This Row],[Cliente]],'BASE DE CLIENTES'!A:D,4,0)</f>
        <v>EMPRESA COM MAQUINA</v>
      </c>
      <c r="L6369" s="1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1" t="str">
        <f>VLOOKUP(Tabela1[[#This Row],[Cliente]],'BASE DE CLIENTES'!A:E,2,0)</f>
        <v>MERCADO LIVRE</v>
      </c>
      <c r="D6370" s="1" t="str">
        <f>VLOOKUP(Tabela1[[#This Row],[Cliente]],'BASE DE CLIENTES'!A:C,3,0)</f>
        <v>MERCADO LIVRE</v>
      </c>
      <c r="E6370" s="1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3">
        <f>Tabela1[[#This Row],[MARGEM BRUTA]]/Tabela1[[#This Row],[Valor total]]</f>
        <v>1</v>
      </c>
      <c r="K6370" s="1" t="str">
        <f>VLOOKUP(Tabela1[[#This Row],[Cliente]],'BASE DE CLIENTES'!A:D,4,0)</f>
        <v>OUTROS RAMOS</v>
      </c>
      <c r="L6370" s="1" t="str">
        <f>VLOOKUP(Tabela1[[#This Row],[Cliente]],'BASE DE CLIENTES'!A:E,5,0)</f>
        <v>MERCADO LIVRE</v>
      </c>
    </row>
    <row r="6371" spans="2:12" x14ac:dyDescent="0.3">
      <c r="B6371" t="s">
        <v>88</v>
      </c>
      <c r="C6371" s="1" t="str">
        <f>VLOOKUP(Tabela1[[#This Row],[Cliente]],'BASE DE CLIENTES'!A:E,2,0)</f>
        <v>Brasília</v>
      </c>
      <c r="D6371" s="1" t="str">
        <f>VLOOKUP(Tabela1[[#This Row],[Cliente]],'BASE DE CLIENTES'!A:C,3,0)</f>
        <v>DF</v>
      </c>
      <c r="E6371" s="1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3">
        <f>Tabela1[[#This Row],[MARGEM BRUTA]]/Tabela1[[#This Row],[Valor total]]</f>
        <v>0.42213114754098363</v>
      </c>
      <c r="K6371" s="1" t="str">
        <f>VLOOKUP(Tabela1[[#This Row],[Cliente]],'BASE DE CLIENTES'!A:D,4,0)</f>
        <v>SERRALHEIRO</v>
      </c>
      <c r="L6371" s="1" t="str">
        <f>VLOOKUP(Tabela1[[#This Row],[Cliente]],'BASE DE CLIENTES'!A:E,5,0)</f>
        <v>RECANTO DAS EMAS</v>
      </c>
    </row>
    <row r="6372" spans="2:12" x14ac:dyDescent="0.3">
      <c r="B6372" t="s">
        <v>19</v>
      </c>
      <c r="C6372" s="1" t="str">
        <f>VLOOKUP(Tabela1[[#This Row],[Cliente]],'BASE DE CLIENTES'!A:E,2,0)</f>
        <v>Águas Lindas de Goiás</v>
      </c>
      <c r="D6372" s="1" t="str">
        <f>VLOOKUP(Tabela1[[#This Row],[Cliente]],'BASE DE CLIENTES'!A:C,3,0)</f>
        <v>GO</v>
      </c>
      <c r="E6372" s="1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3">
        <f>Tabela1[[#This Row],[MARGEM BRUTA]]/Tabela1[[#This Row],[Valor total]]</f>
        <v>0.44166666666666665</v>
      </c>
      <c r="K6372" s="1" t="str">
        <f>VLOOKUP(Tabela1[[#This Row],[Cliente]],'BASE DE CLIENTES'!A:D,4,0)</f>
        <v>SERRALHEIRO</v>
      </c>
      <c r="L6372" s="1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1" t="str">
        <f>VLOOKUP(Tabela1[[#This Row],[Cliente]],'BASE DE CLIENTES'!A:E,2,0)</f>
        <v>Luziânia</v>
      </c>
      <c r="D6373" s="1" t="str">
        <f>VLOOKUP(Tabela1[[#This Row],[Cliente]],'BASE DE CLIENTES'!A:C,3,0)</f>
        <v>GO</v>
      </c>
      <c r="E6373" s="1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3">
        <f>Tabela1[[#This Row],[MARGEM BRUTA]]/Tabela1[[#This Row],[Valor total]]</f>
        <v>0.33333333333333331</v>
      </c>
      <c r="K6373" s="1" t="str">
        <f>VLOOKUP(Tabela1[[#This Row],[Cliente]],'BASE DE CLIENTES'!A:D,4,0)</f>
        <v>SERRALHEIRO</v>
      </c>
      <c r="L6373" s="1" t="str">
        <f>VLOOKUP(Tabela1[[#This Row],[Cliente]],'BASE DE CLIENTES'!A:E,5,0)</f>
        <v>Luziânia</v>
      </c>
    </row>
    <row r="6374" spans="2:12" x14ac:dyDescent="0.3">
      <c r="B6374" t="s">
        <v>27</v>
      </c>
      <c r="C6374" s="1" t="str">
        <f>VLOOKUP(Tabela1[[#This Row],[Cliente]],'BASE DE CLIENTES'!A:E,2,0)</f>
        <v>Brasília</v>
      </c>
      <c r="D6374" s="1" t="str">
        <f>VLOOKUP(Tabela1[[#This Row],[Cliente]],'BASE DE CLIENTES'!A:C,3,0)</f>
        <v>DF</v>
      </c>
      <c r="E6374" s="1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3">
        <f>Tabela1[[#This Row],[MARGEM BRUTA]]/Tabela1[[#This Row],[Valor total]]</f>
        <v>0.38211382113821141</v>
      </c>
      <c r="K6374" s="1" t="str">
        <f>VLOOKUP(Tabela1[[#This Row],[Cliente]],'BASE DE CLIENTES'!A:D,4,0)</f>
        <v>EMPRESA SEM MAQUINA</v>
      </c>
      <c r="L6374" s="1" t="str">
        <f>VLOOKUP(Tabela1[[#This Row],[Cliente]],'BASE DE CLIENTES'!A:E,5,0)</f>
        <v>RECANTO DAS EMAS</v>
      </c>
    </row>
    <row r="6375" spans="2:12" x14ac:dyDescent="0.3">
      <c r="B6375" t="s">
        <v>178</v>
      </c>
      <c r="C6375" s="1" t="str">
        <f>VLOOKUP(Tabela1[[#This Row],[Cliente]],'BASE DE CLIENTES'!A:E,2,0)</f>
        <v xml:space="preserve">Belém </v>
      </c>
      <c r="D6375" s="1" t="str">
        <f>VLOOKUP(Tabela1[[#This Row],[Cliente]],'BASE DE CLIENTES'!A:C,3,0)</f>
        <v>PA</v>
      </c>
      <c r="E6375" s="1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3">
        <f>Tabela1[[#This Row],[MARGEM BRUTA]]/Tabela1[[#This Row],[Valor total]]</f>
        <v>0.43790434782608695</v>
      </c>
      <c r="K6375" s="1" t="str">
        <f>VLOOKUP(Tabela1[[#This Row],[Cliente]],'BASE DE CLIENTES'!A:D,4,0)</f>
        <v>EMPRESA COM MAQUINA</v>
      </c>
      <c r="L6375" s="1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1" t="str">
        <f>VLOOKUP(Tabela1[[#This Row],[Cliente]],'BASE DE CLIENTES'!A:E,2,0)</f>
        <v>Brasília</v>
      </c>
      <c r="D6376" s="1" t="str">
        <f>VLOOKUP(Tabela1[[#This Row],[Cliente]],'BASE DE CLIENTES'!A:C,3,0)</f>
        <v>DF</v>
      </c>
      <c r="E6376" s="1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3">
        <f>Tabela1[[#This Row],[MARGEM BRUTA]]/Tabela1[[#This Row],[Valor total]]</f>
        <v>0.35671428571428571</v>
      </c>
      <c r="K6376" s="1" t="str">
        <f>VLOOKUP(Tabela1[[#This Row],[Cliente]],'BASE DE CLIENTES'!A:D,4,0)</f>
        <v>EMPRESA SEM MAQUINA</v>
      </c>
      <c r="L6376" s="1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1" t="str">
        <f>VLOOKUP(Tabela1[[#This Row],[Cliente]],'BASE DE CLIENTES'!A:E,2,0)</f>
        <v>Brasília</v>
      </c>
      <c r="D6377" s="1" t="str">
        <f>VLOOKUP(Tabela1[[#This Row],[Cliente]],'BASE DE CLIENTES'!A:C,3,0)</f>
        <v>DF</v>
      </c>
      <c r="E6377" s="1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3">
        <f>Tabela1[[#This Row],[MARGEM BRUTA]]/Tabela1[[#This Row],[Valor total]]</f>
        <v>0.39736428571428567</v>
      </c>
      <c r="K6377" s="1" t="str">
        <f>VLOOKUP(Tabela1[[#This Row],[Cliente]],'BASE DE CLIENTES'!A:D,4,0)</f>
        <v>CLIENTE NOVO S/ IDENT.</v>
      </c>
      <c r="L6377" s="1" t="str">
        <f>VLOOKUP(Tabela1[[#This Row],[Cliente]],'BASE DE CLIENTES'!A:E,5,0)</f>
        <v>SAMAMBAIA SUL</v>
      </c>
    </row>
    <row r="6378" spans="2:12" x14ac:dyDescent="0.3">
      <c r="B6378" t="s">
        <v>322</v>
      </c>
      <c r="C6378" s="1" t="str">
        <f>VLOOKUP(Tabela1[[#This Row],[Cliente]],'BASE DE CLIENTES'!A:E,2,0)</f>
        <v>Brasília</v>
      </c>
      <c r="D6378" s="1" t="str">
        <f>VLOOKUP(Tabela1[[#This Row],[Cliente]],'BASE DE CLIENTES'!A:C,3,0)</f>
        <v>DF</v>
      </c>
      <c r="E6378" s="1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3">
        <f>Tabela1[[#This Row],[MARGEM BRUTA]]/Tabela1[[#This Row],[Valor total]]</f>
        <v>0.36333333333333334</v>
      </c>
      <c r="K6378" s="1" t="str">
        <f>VLOOKUP(Tabela1[[#This Row],[Cliente]],'BASE DE CLIENTES'!A:D,4,0)</f>
        <v>SERRALHEIRO</v>
      </c>
      <c r="L6378" s="1" t="str">
        <f>VLOOKUP(Tabela1[[#This Row],[Cliente]],'BASE DE CLIENTES'!A:E,5,0)</f>
        <v>RIACHO FUNDO I</v>
      </c>
    </row>
    <row r="6379" spans="2:12" x14ac:dyDescent="0.3">
      <c r="B6379" t="s">
        <v>25</v>
      </c>
      <c r="C6379" s="1" t="str">
        <f>VLOOKUP(Tabela1[[#This Row],[Cliente]],'BASE DE CLIENTES'!A:E,2,0)</f>
        <v>Brasília</v>
      </c>
      <c r="D6379" s="1" t="str">
        <f>VLOOKUP(Tabela1[[#This Row],[Cliente]],'BASE DE CLIENTES'!A:C,3,0)</f>
        <v>DF</v>
      </c>
      <c r="E6379" s="1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3">
        <f>Tabela1[[#This Row],[MARGEM BRUTA]]/Tabela1[[#This Row],[Valor total]]</f>
        <v>0.47625000000000001</v>
      </c>
      <c r="K6379" s="1" t="str">
        <f>VLOOKUP(Tabela1[[#This Row],[Cliente]],'BASE DE CLIENTES'!A:D,4,0)</f>
        <v>EMPRESA COM MAQUINA</v>
      </c>
      <c r="L6379" s="1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1" t="str">
        <f>VLOOKUP(Tabela1[[#This Row],[Cliente]],'BASE DE CLIENTES'!A:E,2,0)</f>
        <v>Brasília</v>
      </c>
      <c r="D6380" s="1" t="str">
        <f>VLOOKUP(Tabela1[[#This Row],[Cliente]],'BASE DE CLIENTES'!A:C,3,0)</f>
        <v>DF</v>
      </c>
      <c r="E6380" s="1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3">
        <f>Tabela1[[#This Row],[MARGEM BRUTA]]/Tabela1[[#This Row],[Valor total]]</f>
        <v>0.5571600000000001</v>
      </c>
      <c r="K6380" s="1" t="str">
        <f>VLOOKUP(Tabela1[[#This Row],[Cliente]],'BASE DE CLIENTES'!A:D,4,0)</f>
        <v>SERRALHEIRO</v>
      </c>
      <c r="L6380" s="1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1" t="str">
        <f>VLOOKUP(Tabela1[[#This Row],[Cliente]],'BASE DE CLIENTES'!A:E,2,0)</f>
        <v>Brasília</v>
      </c>
      <c r="D6381" s="1" t="str">
        <f>VLOOKUP(Tabela1[[#This Row],[Cliente]],'BASE DE CLIENTES'!A:C,3,0)</f>
        <v>DF</v>
      </c>
      <c r="E6381" s="1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3">
        <f>Tabela1[[#This Row],[MARGEM BRUTA]]/Tabela1[[#This Row],[Valor total]]</f>
        <v>0.48461538461538461</v>
      </c>
      <c r="K6381" s="1" t="str">
        <f>VLOOKUP(Tabela1[[#This Row],[Cliente]],'BASE DE CLIENTES'!A:D,4,0)</f>
        <v>EMPRESA SEM MAQUINA</v>
      </c>
      <c r="L6381" s="1" t="str">
        <f>VLOOKUP(Tabela1[[#This Row],[Cliente]],'BASE DE CLIENTES'!A:E,5,0)</f>
        <v>JOKEY</v>
      </c>
    </row>
    <row r="6382" spans="2:12" x14ac:dyDescent="0.3">
      <c r="B6382" t="s">
        <v>1223</v>
      </c>
      <c r="C6382" s="1" t="str">
        <f>VLOOKUP(Tabela1[[#This Row],[Cliente]],'BASE DE CLIENTES'!A:E,2,0)</f>
        <v>MERCADO LIVRE</v>
      </c>
      <c r="D6382" s="1" t="str">
        <f>VLOOKUP(Tabela1[[#This Row],[Cliente]],'BASE DE CLIENTES'!A:C,3,0)</f>
        <v>MERCADO LIVRE</v>
      </c>
      <c r="E6382" s="1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3">
        <f>Tabela1[[#This Row],[MARGEM BRUTA]]/Tabela1[[#This Row],[Valor total]]</f>
        <v>0.71708641230583625</v>
      </c>
      <c r="K6382" s="1" t="str">
        <f>VLOOKUP(Tabela1[[#This Row],[Cliente]],'BASE DE CLIENTES'!A:D,4,0)</f>
        <v>OUTROS RAMOS</v>
      </c>
      <c r="L6382" s="1" t="str">
        <f>VLOOKUP(Tabela1[[#This Row],[Cliente]],'BASE DE CLIENTES'!A:E,5,0)</f>
        <v>MERCADO LIVRE</v>
      </c>
    </row>
    <row r="6383" spans="2:12" x14ac:dyDescent="0.3">
      <c r="B6383" t="s">
        <v>1223</v>
      </c>
      <c r="C6383" s="1" t="str">
        <f>VLOOKUP(Tabela1[[#This Row],[Cliente]],'BASE DE CLIENTES'!A:E,2,0)</f>
        <v>MERCADO LIVRE</v>
      </c>
      <c r="D6383" s="1" t="str">
        <f>VLOOKUP(Tabela1[[#This Row],[Cliente]],'BASE DE CLIENTES'!A:C,3,0)</f>
        <v>MERCADO LIVRE</v>
      </c>
      <c r="E6383" s="1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3">
        <f>Tabela1[[#This Row],[MARGEM BRUTA]]/Tabela1[[#This Row],[Valor total]]</f>
        <v>0.71708641230583625</v>
      </c>
      <c r="K6383" s="1" t="str">
        <f>VLOOKUP(Tabela1[[#This Row],[Cliente]],'BASE DE CLIENTES'!A:D,4,0)</f>
        <v>OUTROS RAMOS</v>
      </c>
      <c r="L6383" s="1" t="str">
        <f>VLOOKUP(Tabela1[[#This Row],[Cliente]],'BASE DE CLIENTES'!A:E,5,0)</f>
        <v>MERCADO LIVRE</v>
      </c>
    </row>
    <row r="6384" spans="2:12" x14ac:dyDescent="0.3">
      <c r="B6384" t="s">
        <v>1223</v>
      </c>
      <c r="C6384" s="1" t="str">
        <f>VLOOKUP(Tabela1[[#This Row],[Cliente]],'BASE DE CLIENTES'!A:E,2,0)</f>
        <v>MERCADO LIVRE</v>
      </c>
      <c r="D6384" s="1" t="str">
        <f>VLOOKUP(Tabela1[[#This Row],[Cliente]],'BASE DE CLIENTES'!A:C,3,0)</f>
        <v>MERCADO LIVRE</v>
      </c>
      <c r="E6384" s="1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3">
        <f>Tabela1[[#This Row],[MARGEM BRUTA]]/Tabela1[[#This Row],[Valor total]]</f>
        <v>0.71708641230583625</v>
      </c>
      <c r="K6384" s="1" t="str">
        <f>VLOOKUP(Tabela1[[#This Row],[Cliente]],'BASE DE CLIENTES'!A:D,4,0)</f>
        <v>OUTROS RAMOS</v>
      </c>
      <c r="L6384" s="1" t="str">
        <f>VLOOKUP(Tabela1[[#This Row],[Cliente]],'BASE DE CLIENTES'!A:E,5,0)</f>
        <v>MERCADO LIVRE</v>
      </c>
    </row>
    <row r="6385" spans="2:12" x14ac:dyDescent="0.3">
      <c r="B6385" t="s">
        <v>1223</v>
      </c>
      <c r="C6385" s="1" t="str">
        <f>VLOOKUP(Tabela1[[#This Row],[Cliente]],'BASE DE CLIENTES'!A:E,2,0)</f>
        <v>MERCADO LIVRE</v>
      </c>
      <c r="D6385" s="1" t="str">
        <f>VLOOKUP(Tabela1[[#This Row],[Cliente]],'BASE DE CLIENTES'!A:C,3,0)</f>
        <v>MERCADO LIVRE</v>
      </c>
      <c r="E6385" s="1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3">
        <f>Tabela1[[#This Row],[MARGEM BRUTA]]/Tabela1[[#This Row],[Valor total]]</f>
        <v>-0.20882584712371949</v>
      </c>
      <c r="K6385" s="1" t="str">
        <f>VLOOKUP(Tabela1[[#This Row],[Cliente]],'BASE DE CLIENTES'!A:D,4,0)</f>
        <v>OUTROS RAMOS</v>
      </c>
      <c r="L6385" s="1" t="str">
        <f>VLOOKUP(Tabela1[[#This Row],[Cliente]],'BASE DE CLIENTES'!A:E,5,0)</f>
        <v>MERCADO LIVRE</v>
      </c>
    </row>
    <row r="6386" spans="2:12" x14ac:dyDescent="0.3">
      <c r="B6386" t="s">
        <v>1223</v>
      </c>
      <c r="C6386" s="1" t="str">
        <f>VLOOKUP(Tabela1[[#This Row],[Cliente]],'BASE DE CLIENTES'!A:E,2,0)</f>
        <v>MERCADO LIVRE</v>
      </c>
      <c r="D6386" s="1" t="str">
        <f>VLOOKUP(Tabela1[[#This Row],[Cliente]],'BASE DE CLIENTES'!A:C,3,0)</f>
        <v>MERCADO LIVRE</v>
      </c>
      <c r="E6386" s="1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3">
        <f>Tabela1[[#This Row],[MARGEM BRUTA]]/Tabela1[[#This Row],[Valor total]]</f>
        <v>1</v>
      </c>
      <c r="K6386" s="1" t="str">
        <f>VLOOKUP(Tabela1[[#This Row],[Cliente]],'BASE DE CLIENTES'!A:D,4,0)</f>
        <v>OUTROS RAMOS</v>
      </c>
      <c r="L6386" s="1" t="str">
        <f>VLOOKUP(Tabela1[[#This Row],[Cliente]],'BASE DE CLIENTES'!A:E,5,0)</f>
        <v>MERCADO LIVRE</v>
      </c>
    </row>
    <row r="6387" spans="2:12" x14ac:dyDescent="0.3">
      <c r="B6387" t="s">
        <v>1223</v>
      </c>
      <c r="C6387" s="1" t="str">
        <f>VLOOKUP(Tabela1[[#This Row],[Cliente]],'BASE DE CLIENTES'!A:E,2,0)</f>
        <v>MERCADO LIVRE</v>
      </c>
      <c r="D6387" s="1" t="str">
        <f>VLOOKUP(Tabela1[[#This Row],[Cliente]],'BASE DE CLIENTES'!A:C,3,0)</f>
        <v>MERCADO LIVRE</v>
      </c>
      <c r="E6387" s="1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3">
        <f>Tabela1[[#This Row],[MARGEM BRUTA]]/Tabela1[[#This Row],[Valor total]]</f>
        <v>1</v>
      </c>
      <c r="K6387" s="1" t="str">
        <f>VLOOKUP(Tabela1[[#This Row],[Cliente]],'BASE DE CLIENTES'!A:D,4,0)</f>
        <v>OUTROS RAMOS</v>
      </c>
      <c r="L6387" s="1" t="str">
        <f>VLOOKUP(Tabela1[[#This Row],[Cliente]],'BASE DE CLIENTES'!A:E,5,0)</f>
        <v>MERCADO LIVRE</v>
      </c>
    </row>
    <row r="6388" spans="2:12" x14ac:dyDescent="0.3">
      <c r="B6388" t="s">
        <v>1223</v>
      </c>
      <c r="C6388" s="1" t="str">
        <f>VLOOKUP(Tabela1[[#This Row],[Cliente]],'BASE DE CLIENTES'!A:E,2,0)</f>
        <v>MERCADO LIVRE</v>
      </c>
      <c r="D6388" s="1" t="str">
        <f>VLOOKUP(Tabela1[[#This Row],[Cliente]],'BASE DE CLIENTES'!A:C,3,0)</f>
        <v>MERCADO LIVRE</v>
      </c>
      <c r="E6388" s="1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3">
        <f>Tabela1[[#This Row],[MARGEM BRUTA]]/Tabela1[[#This Row],[Valor total]]</f>
        <v>0.29966611018363937</v>
      </c>
      <c r="K6388" s="1" t="str">
        <f>VLOOKUP(Tabela1[[#This Row],[Cliente]],'BASE DE CLIENTES'!A:D,4,0)</f>
        <v>OUTROS RAMOS</v>
      </c>
      <c r="L6388" s="1" t="str">
        <f>VLOOKUP(Tabela1[[#This Row],[Cliente]],'BASE DE CLIENTES'!A:E,5,0)</f>
        <v>MERCADO LIVRE</v>
      </c>
    </row>
    <row r="6389" spans="2:12" x14ac:dyDescent="0.3">
      <c r="B6389" t="s">
        <v>154</v>
      </c>
      <c r="C6389" s="1" t="str">
        <f>VLOOKUP(Tabela1[[#This Row],[Cliente]],'BASE DE CLIENTES'!A:E,2,0)</f>
        <v>Aparecida de Goiânia</v>
      </c>
      <c r="D6389" s="1" t="str">
        <f>VLOOKUP(Tabela1[[#This Row],[Cliente]],'BASE DE CLIENTES'!A:C,3,0)</f>
        <v>GO</v>
      </c>
      <c r="E6389" s="1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3">
        <f>Tabela1[[#This Row],[MARGEM BRUTA]]/Tabela1[[#This Row],[Valor total]]</f>
        <v>0.32332059999999996</v>
      </c>
      <c r="K6389" s="1" t="str">
        <f>VLOOKUP(Tabela1[[#This Row],[Cliente]],'BASE DE CLIENTES'!A:D,4,0)</f>
        <v>TECNICO</v>
      </c>
      <c r="L6389" s="1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1" t="str">
        <f>VLOOKUP(Tabela1[[#This Row],[Cliente]],'BASE DE CLIENTES'!A:E,2,0)</f>
        <v>MERCADO LIVRE</v>
      </c>
      <c r="D6390" s="1" t="str">
        <f>VLOOKUP(Tabela1[[#This Row],[Cliente]],'BASE DE CLIENTES'!A:C,3,0)</f>
        <v>MERCADO LIVRE</v>
      </c>
      <c r="E6390" s="1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3">
        <f>Tabela1[[#This Row],[MARGEM BRUTA]]/Tabela1[[#This Row],[Valor total]]</f>
        <v>-0.20882584712371949</v>
      </c>
      <c r="K6390" s="1" t="str">
        <f>VLOOKUP(Tabela1[[#This Row],[Cliente]],'BASE DE CLIENTES'!A:D,4,0)</f>
        <v>OUTROS RAMOS</v>
      </c>
      <c r="L6390" s="1" t="str">
        <f>VLOOKUP(Tabela1[[#This Row],[Cliente]],'BASE DE CLIENTES'!A:E,5,0)</f>
        <v>MERCADO LIVRE</v>
      </c>
    </row>
    <row r="6391" spans="2:12" x14ac:dyDescent="0.3">
      <c r="B6391" t="s">
        <v>1223</v>
      </c>
      <c r="C6391" s="1" t="str">
        <f>VLOOKUP(Tabela1[[#This Row],[Cliente]],'BASE DE CLIENTES'!A:E,2,0)</f>
        <v>MERCADO LIVRE</v>
      </c>
      <c r="D6391" s="1" t="str">
        <f>VLOOKUP(Tabela1[[#This Row],[Cliente]],'BASE DE CLIENTES'!A:C,3,0)</f>
        <v>MERCADO LIVRE</v>
      </c>
      <c r="E6391" s="1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3">
        <f>Tabela1[[#This Row],[MARGEM BRUTA]]/Tabela1[[#This Row],[Valor total]]</f>
        <v>-0.20882584712371949</v>
      </c>
      <c r="K6391" s="1" t="str">
        <f>VLOOKUP(Tabela1[[#This Row],[Cliente]],'BASE DE CLIENTES'!A:D,4,0)</f>
        <v>OUTROS RAMOS</v>
      </c>
      <c r="L6391" s="1" t="str">
        <f>VLOOKUP(Tabela1[[#This Row],[Cliente]],'BASE DE CLIENTES'!A:E,5,0)</f>
        <v>MERCADO LIVRE</v>
      </c>
    </row>
    <row r="6392" spans="2:12" x14ac:dyDescent="0.3">
      <c r="B6392" t="s">
        <v>1223</v>
      </c>
      <c r="C6392" s="1" t="str">
        <f>VLOOKUP(Tabela1[[#This Row],[Cliente]],'BASE DE CLIENTES'!A:E,2,0)</f>
        <v>MERCADO LIVRE</v>
      </c>
      <c r="D6392" s="1" t="str">
        <f>VLOOKUP(Tabela1[[#This Row],[Cliente]],'BASE DE CLIENTES'!A:C,3,0)</f>
        <v>MERCADO LIVRE</v>
      </c>
      <c r="E6392" s="1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3">
        <f>Tabela1[[#This Row],[MARGEM BRUTA]]/Tabela1[[#This Row],[Valor total]]</f>
        <v>-0.20882584712371949</v>
      </c>
      <c r="K6392" s="1" t="str">
        <f>VLOOKUP(Tabela1[[#This Row],[Cliente]],'BASE DE CLIENTES'!A:D,4,0)</f>
        <v>OUTROS RAMOS</v>
      </c>
      <c r="L6392" s="1" t="str">
        <f>VLOOKUP(Tabela1[[#This Row],[Cliente]],'BASE DE CLIENTES'!A:E,5,0)</f>
        <v>MERCADO LIVRE</v>
      </c>
    </row>
    <row r="6393" spans="2:12" x14ac:dyDescent="0.3">
      <c r="B6393" t="s">
        <v>52</v>
      </c>
      <c r="C6393" s="1" t="str">
        <f>VLOOKUP(Tabela1[[#This Row],[Cliente]],'BASE DE CLIENTES'!A:E,2,0)</f>
        <v>Brasília</v>
      </c>
      <c r="D6393" s="1" t="str">
        <f>VLOOKUP(Tabela1[[#This Row],[Cliente]],'BASE DE CLIENTES'!A:C,3,0)</f>
        <v>DF</v>
      </c>
      <c r="E6393" s="1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3">
        <f>Tabela1[[#This Row],[MARGEM BRUTA]]/Tabela1[[#This Row],[Valor total]]</f>
        <v>0.40142857142857141</v>
      </c>
      <c r="K6393" s="1" t="str">
        <f>VLOOKUP(Tabela1[[#This Row],[Cliente]],'BASE DE CLIENTES'!A:D,4,0)</f>
        <v>SERRALHEIRO</v>
      </c>
      <c r="L6393" s="1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1" t="str">
        <f>VLOOKUP(Tabela1[[#This Row],[Cliente]],'BASE DE CLIENTES'!A:E,2,0)</f>
        <v>Brasília</v>
      </c>
      <c r="D6394" s="1" t="str">
        <f>VLOOKUP(Tabela1[[#This Row],[Cliente]],'BASE DE CLIENTES'!A:C,3,0)</f>
        <v>DF</v>
      </c>
      <c r="E6394" s="1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3">
        <f>Tabela1[[#This Row],[MARGEM BRUTA]]/Tabela1[[#This Row],[Valor total]]</f>
        <v>0.62480000000000002</v>
      </c>
      <c r="K6394" s="1" t="str">
        <f>VLOOKUP(Tabela1[[#This Row],[Cliente]],'BASE DE CLIENTES'!A:D,4,0)</f>
        <v>EMPRESA SEM MAQUINA</v>
      </c>
      <c r="L6394" s="1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1" t="str">
        <f>VLOOKUP(Tabela1[[#This Row],[Cliente]],'BASE DE CLIENTES'!A:E,2,0)</f>
        <v>Águas Lindas de Goiás</v>
      </c>
      <c r="D6395" s="1" t="str">
        <f>VLOOKUP(Tabela1[[#This Row],[Cliente]],'BASE DE CLIENTES'!A:C,3,0)</f>
        <v>GO</v>
      </c>
      <c r="E6395" s="1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3">
        <f>Tabela1[[#This Row],[MARGEM BRUTA]]/Tabela1[[#This Row],[Valor total]]</f>
        <v>0.34866310160427805</v>
      </c>
      <c r="K6395" s="1" t="str">
        <f>VLOOKUP(Tabela1[[#This Row],[Cliente]],'BASE DE CLIENTES'!A:D,4,0)</f>
        <v>EMPRESA COM MAQUINA</v>
      </c>
      <c r="L6395" s="1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1" t="str">
        <f>VLOOKUP(Tabela1[[#This Row],[Cliente]],'BASE DE CLIENTES'!A:E,2,0)</f>
        <v>Brasília</v>
      </c>
      <c r="D6396" s="1" t="str">
        <f>VLOOKUP(Tabela1[[#This Row],[Cliente]],'BASE DE CLIENTES'!A:C,3,0)</f>
        <v>DF</v>
      </c>
      <c r="E6396" s="1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3">
        <f>Tabela1[[#This Row],[MARGEM BRUTA]]/Tabela1[[#This Row],[Valor total]]</f>
        <v>0.62480000000000002</v>
      </c>
      <c r="K6396" s="1" t="str">
        <f>VLOOKUP(Tabela1[[#This Row],[Cliente]],'BASE DE CLIENTES'!A:D,4,0)</f>
        <v>SERRALHEIRO</v>
      </c>
      <c r="L6396" s="1" t="str">
        <f>VLOOKUP(Tabela1[[#This Row],[Cliente]],'BASE DE CLIENTES'!A:E,5,0)</f>
        <v>Vila Planalto</v>
      </c>
    </row>
    <row r="6397" spans="2:12" x14ac:dyDescent="0.3">
      <c r="B6397" t="s">
        <v>15</v>
      </c>
      <c r="C6397" s="1" t="str">
        <f>VLOOKUP(Tabela1[[#This Row],[Cliente]],'BASE DE CLIENTES'!A:E,2,0)</f>
        <v>Brasília</v>
      </c>
      <c r="D6397" s="1" t="str">
        <f>VLOOKUP(Tabela1[[#This Row],[Cliente]],'BASE DE CLIENTES'!A:C,3,0)</f>
        <v>DF</v>
      </c>
      <c r="E6397" s="1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3">
        <f>Tabela1[[#This Row],[MARGEM BRUTA]]/Tabela1[[#This Row],[Valor total]]</f>
        <v>0.41085271317829458</v>
      </c>
      <c r="K6397" s="1" t="str">
        <f>VLOOKUP(Tabela1[[#This Row],[Cliente]],'BASE DE CLIENTES'!A:D,4,0)</f>
        <v>SERRALHEIRO</v>
      </c>
      <c r="L6397" s="1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1" t="str">
        <f>VLOOKUP(Tabela1[[#This Row],[Cliente]],'BASE DE CLIENTES'!A:E,2,0)</f>
        <v>Brasília</v>
      </c>
      <c r="D6398" s="1" t="str">
        <f>VLOOKUP(Tabela1[[#This Row],[Cliente]],'BASE DE CLIENTES'!A:C,3,0)</f>
        <v>DF</v>
      </c>
      <c r="E6398" s="1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3">
        <f>Tabela1[[#This Row],[MARGEM BRUTA]]/Tabela1[[#This Row],[Valor total]]</f>
        <v>0.38211382113821141</v>
      </c>
      <c r="K6398" s="1" t="str">
        <f>VLOOKUP(Tabela1[[#This Row],[Cliente]],'BASE DE CLIENTES'!A:D,4,0)</f>
        <v>EMPRESA SEM MAQUINA</v>
      </c>
      <c r="L6398" s="1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1" t="str">
        <f>VLOOKUP(Tabela1[[#This Row],[Cliente]],'BASE DE CLIENTES'!A:E,2,0)</f>
        <v>Brasília</v>
      </c>
      <c r="D6399" s="1" t="str">
        <f>VLOOKUP(Tabela1[[#This Row],[Cliente]],'BASE DE CLIENTES'!A:C,3,0)</f>
        <v>DF</v>
      </c>
      <c r="E6399" s="1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3">
        <f>Tabela1[[#This Row],[MARGEM BRUTA]]/Tabela1[[#This Row],[Valor total]]</f>
        <v>0.3715057471264368</v>
      </c>
      <c r="K6399" s="1" t="str">
        <f>VLOOKUP(Tabela1[[#This Row],[Cliente]],'BASE DE CLIENTES'!A:D,4,0)</f>
        <v>EMPRESA SEM MAQUINA</v>
      </c>
      <c r="L6399" s="1" t="str">
        <f>VLOOKUP(Tabela1[[#This Row],[Cliente]],'BASE DE CLIENTES'!A:E,5,0)</f>
        <v>SAMAMBAIA</v>
      </c>
    </row>
    <row r="6400" spans="2:12" x14ac:dyDescent="0.3">
      <c r="B6400" t="s">
        <v>253</v>
      </c>
      <c r="C6400" s="1" t="str">
        <f>VLOOKUP(Tabela1[[#This Row],[Cliente]],'BASE DE CLIENTES'!A:E,2,0)</f>
        <v>Luziânia</v>
      </c>
      <c r="D6400" s="1" t="str">
        <f>VLOOKUP(Tabela1[[#This Row],[Cliente]],'BASE DE CLIENTES'!A:C,3,0)</f>
        <v>GO</v>
      </c>
      <c r="E6400" s="1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3">
        <f>Tabela1[[#This Row],[MARGEM BRUTA]]/Tabela1[[#This Row],[Valor total]]</f>
        <v>0.29324481327800833</v>
      </c>
      <c r="K6400" s="1" t="str">
        <f>VLOOKUP(Tabela1[[#This Row],[Cliente]],'BASE DE CLIENTES'!A:D,4,0)</f>
        <v>EMPRESA COM MAQUINA</v>
      </c>
      <c r="L6400" s="1" t="str">
        <f>VLOOKUP(Tabela1[[#This Row],[Cliente]],'BASE DE CLIENTES'!A:E,5,0)</f>
        <v>Luziânia</v>
      </c>
    </row>
    <row r="6401" spans="2:12" x14ac:dyDescent="0.3">
      <c r="B6401" t="s">
        <v>68</v>
      </c>
      <c r="C6401" s="1" t="str">
        <f>VLOOKUP(Tabela1[[#This Row],[Cliente]],'BASE DE CLIENTES'!A:E,2,0)</f>
        <v>Brasília</v>
      </c>
      <c r="D6401" s="1" t="str">
        <f>VLOOKUP(Tabela1[[#This Row],[Cliente]],'BASE DE CLIENTES'!A:C,3,0)</f>
        <v>DF</v>
      </c>
      <c r="E6401" s="1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3">
        <f>Tabela1[[#This Row],[MARGEM BRUTA]]/Tabela1[[#This Row],[Valor total]]</f>
        <v>0.2391304347826087</v>
      </c>
      <c r="K6401" s="1" t="str">
        <f>VLOOKUP(Tabela1[[#This Row],[Cliente]],'BASE DE CLIENTES'!A:D,4,0)</f>
        <v>EMPRESA COM MAQUINA</v>
      </c>
      <c r="L6401" s="1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1" t="str">
        <f>VLOOKUP(Tabela1[[#This Row],[Cliente]],'BASE DE CLIENTES'!A:E,2,0)</f>
        <v>Brasília</v>
      </c>
      <c r="D6402" s="1" t="str">
        <f>VLOOKUP(Tabela1[[#This Row],[Cliente]],'BASE DE CLIENTES'!A:C,3,0)</f>
        <v>DF</v>
      </c>
      <c r="E6402" s="1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3">
        <f>Tabela1[[#This Row],[MARGEM BRUTA]]/Tabela1[[#This Row],[Valor total]]</f>
        <v>0.26666666666666666</v>
      </c>
      <c r="K6402" s="1" t="str">
        <f>VLOOKUP(Tabela1[[#This Row],[Cliente]],'BASE DE CLIENTES'!A:D,4,0)</f>
        <v>EMPRESA SEM MAQUINA</v>
      </c>
      <c r="L6402" s="1" t="str">
        <f>VLOOKUP(Tabela1[[#This Row],[Cliente]],'BASE DE CLIENTES'!A:E,5,0)</f>
        <v>SOBRADINHO</v>
      </c>
    </row>
    <row r="6403" spans="2:12" x14ac:dyDescent="0.3">
      <c r="B6403" t="s">
        <v>117</v>
      </c>
      <c r="C6403" s="1" t="str">
        <f>VLOOKUP(Tabela1[[#This Row],[Cliente]],'BASE DE CLIENTES'!A:E,2,0)</f>
        <v>Brasília</v>
      </c>
      <c r="D6403" s="1" t="str">
        <f>VLOOKUP(Tabela1[[#This Row],[Cliente]],'BASE DE CLIENTES'!A:C,3,0)</f>
        <v>DF</v>
      </c>
      <c r="E6403" s="1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3">
        <f>Tabela1[[#This Row],[MARGEM BRUTA]]/Tabela1[[#This Row],[Valor total]]</f>
        <v>0.30331950207468877</v>
      </c>
      <c r="K6403" s="1" t="str">
        <f>VLOOKUP(Tabela1[[#This Row],[Cliente]],'BASE DE CLIENTES'!A:D,4,0)</f>
        <v>EMPRESA COM MAQUINA</v>
      </c>
      <c r="L6403" s="1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1" t="str">
        <f>VLOOKUP(Tabela1[[#This Row],[Cliente]],'BASE DE CLIENTES'!A:E,2,0)</f>
        <v>Brasília</v>
      </c>
      <c r="D6404" s="1" t="str">
        <f>VLOOKUP(Tabela1[[#This Row],[Cliente]],'BASE DE CLIENTES'!A:C,3,0)</f>
        <v>DF</v>
      </c>
      <c r="E6404" s="1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3">
        <f>Tabela1[[#This Row],[MARGEM BRUTA]]/Tabela1[[#This Row],[Valor total]]</f>
        <v>0.28670000000000007</v>
      </c>
      <c r="K6404" s="1" t="str">
        <f>VLOOKUP(Tabela1[[#This Row],[Cliente]],'BASE DE CLIENTES'!A:D,4,0)</f>
        <v>SERRALHEIRO</v>
      </c>
      <c r="L6404" s="1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1" t="str">
        <f>VLOOKUP(Tabela1[[#This Row],[Cliente]],'BASE DE CLIENTES'!A:E,2,0)</f>
        <v>Águas Lindas de Goiás</v>
      </c>
      <c r="D6405" s="1" t="str">
        <f>VLOOKUP(Tabela1[[#This Row],[Cliente]],'BASE DE CLIENTES'!A:C,3,0)</f>
        <v>GO</v>
      </c>
      <c r="E6405" s="1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3">
        <f>Tabela1[[#This Row],[MARGEM BRUTA]]/Tabela1[[#This Row],[Valor total]]</f>
        <v>0.42684210526315791</v>
      </c>
      <c r="K6405" s="1" t="str">
        <f>VLOOKUP(Tabela1[[#This Row],[Cliente]],'BASE DE CLIENTES'!A:D,4,0)</f>
        <v>SERRALHEIRO</v>
      </c>
      <c r="L6405" s="1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1" t="str">
        <f>VLOOKUP(Tabela1[[#This Row],[Cliente]],'BASE DE CLIENTES'!A:E,2,0)</f>
        <v>MERCADO LIVRE</v>
      </c>
      <c r="D6406" s="1" t="str">
        <f>VLOOKUP(Tabela1[[#This Row],[Cliente]],'BASE DE CLIENTES'!A:C,3,0)</f>
        <v>MERCADO LIVRE</v>
      </c>
      <c r="E6406" s="1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3">
        <f>Tabela1[[#This Row],[MARGEM BRUTA]]/Tabela1[[#This Row],[Valor total]]</f>
        <v>0.38764512810463919</v>
      </c>
      <c r="K6406" s="1" t="str">
        <f>VLOOKUP(Tabela1[[#This Row],[Cliente]],'BASE DE CLIENTES'!A:D,4,0)</f>
        <v>OUTROS RAMOS</v>
      </c>
      <c r="L6406" s="1" t="str">
        <f>VLOOKUP(Tabela1[[#This Row],[Cliente]],'BASE DE CLIENTES'!A:E,5,0)</f>
        <v>MERCADO LIVRE</v>
      </c>
    </row>
    <row r="6407" spans="2:12" x14ac:dyDescent="0.3">
      <c r="B6407" t="s">
        <v>23</v>
      </c>
      <c r="C6407" s="1" t="str">
        <f>VLOOKUP(Tabela1[[#This Row],[Cliente]],'BASE DE CLIENTES'!A:E,2,0)</f>
        <v>Brasília</v>
      </c>
      <c r="D6407" s="1" t="str">
        <f>VLOOKUP(Tabela1[[#This Row],[Cliente]],'BASE DE CLIENTES'!A:C,3,0)</f>
        <v>DF</v>
      </c>
      <c r="E6407" s="1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3">
        <f>Tabela1[[#This Row],[MARGEM BRUTA]]/Tabela1[[#This Row],[Valor total]]</f>
        <v>0.30909090909090908</v>
      </c>
      <c r="K6407" s="1" t="str">
        <f>VLOOKUP(Tabela1[[#This Row],[Cliente]],'BASE DE CLIENTES'!A:D,4,0)</f>
        <v>EMPRESA SEM MAQUINA</v>
      </c>
      <c r="L6407" s="1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1" t="str">
        <f>VLOOKUP(Tabela1[[#This Row],[Cliente]],'BASE DE CLIENTES'!A:E,2,0)</f>
        <v>Brasília</v>
      </c>
      <c r="D6408" s="1" t="str">
        <f>VLOOKUP(Tabela1[[#This Row],[Cliente]],'BASE DE CLIENTES'!A:C,3,0)</f>
        <v>DF</v>
      </c>
      <c r="E6408" s="1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3">
        <f>Tabela1[[#This Row],[MARGEM BRUTA]]/Tabela1[[#This Row],[Valor total]]</f>
        <v>0.44983818770226536</v>
      </c>
      <c r="K6408" s="1" t="str">
        <f>VLOOKUP(Tabela1[[#This Row],[Cliente]],'BASE DE CLIENTES'!A:D,4,0)</f>
        <v>SERRALHEIRO</v>
      </c>
      <c r="L6408" s="1" t="str">
        <f>VLOOKUP(Tabela1[[#This Row],[Cliente]],'BASE DE CLIENTES'!A:E,5,0)</f>
        <v>RECANTO DAS EMAS</v>
      </c>
    </row>
    <row r="6409" spans="2:12" x14ac:dyDescent="0.3">
      <c r="B6409" t="s">
        <v>199</v>
      </c>
      <c r="C6409" s="1" t="str">
        <f>VLOOKUP(Tabela1[[#This Row],[Cliente]],'BASE DE CLIENTES'!A:E,2,0)</f>
        <v>Goiânia</v>
      </c>
      <c r="D6409" s="1" t="str">
        <f>VLOOKUP(Tabela1[[#This Row],[Cliente]],'BASE DE CLIENTES'!A:C,3,0)</f>
        <v>GO</v>
      </c>
      <c r="E6409" s="1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3">
        <f>Tabela1[[#This Row],[MARGEM BRUTA]]/Tabela1[[#This Row],[Valor total]]</f>
        <v>0.3849488372093024</v>
      </c>
      <c r="K6409" s="1" t="str">
        <f>VLOOKUP(Tabela1[[#This Row],[Cliente]],'BASE DE CLIENTES'!A:D,4,0)</f>
        <v>EMPRESA COM MAQUINA</v>
      </c>
      <c r="L6409" s="1" t="str">
        <f>VLOOKUP(Tabela1[[#This Row],[Cliente]],'BASE DE CLIENTES'!A:E,5,0)</f>
        <v>Goiânia</v>
      </c>
    </row>
    <row r="6410" spans="2:12" x14ac:dyDescent="0.3">
      <c r="B6410" t="s">
        <v>1223</v>
      </c>
      <c r="C6410" s="1" t="str">
        <f>VLOOKUP(Tabela1[[#This Row],[Cliente]],'BASE DE CLIENTES'!A:E,2,0)</f>
        <v>MERCADO LIVRE</v>
      </c>
      <c r="D6410" s="1" t="str">
        <f>VLOOKUP(Tabela1[[#This Row],[Cliente]],'BASE DE CLIENTES'!A:C,3,0)</f>
        <v>MERCADO LIVRE</v>
      </c>
      <c r="E6410" s="1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3">
        <f>Tabela1[[#This Row],[MARGEM BRUTA]]/Tabela1[[#This Row],[Valor total]]</f>
        <v>0.40946683089917291</v>
      </c>
      <c r="K6410" s="1" t="str">
        <f>VLOOKUP(Tabela1[[#This Row],[Cliente]],'BASE DE CLIENTES'!A:D,4,0)</f>
        <v>OUTROS RAMOS</v>
      </c>
      <c r="L6410" s="1" t="str">
        <f>VLOOKUP(Tabela1[[#This Row],[Cliente]],'BASE DE CLIENTES'!A:E,5,0)</f>
        <v>MERCADO LIVRE</v>
      </c>
    </row>
    <row r="6411" spans="2:12" x14ac:dyDescent="0.3">
      <c r="B6411" t="s">
        <v>1223</v>
      </c>
      <c r="C6411" s="1" t="str">
        <f>VLOOKUP(Tabela1[[#This Row],[Cliente]],'BASE DE CLIENTES'!A:E,2,0)</f>
        <v>MERCADO LIVRE</v>
      </c>
      <c r="D6411" s="1" t="str">
        <f>VLOOKUP(Tabela1[[#This Row],[Cliente]],'BASE DE CLIENTES'!A:C,3,0)</f>
        <v>MERCADO LIVRE</v>
      </c>
      <c r="E6411" s="1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3">
        <f>Tabela1[[#This Row],[MARGEM BRUTA]]/Tabela1[[#This Row],[Valor total]]</f>
        <v>0.7081064260152482</v>
      </c>
      <c r="K6411" s="1" t="str">
        <f>VLOOKUP(Tabela1[[#This Row],[Cliente]],'BASE DE CLIENTES'!A:D,4,0)</f>
        <v>OUTROS RAMOS</v>
      </c>
      <c r="L6411" s="1" t="str">
        <f>VLOOKUP(Tabela1[[#This Row],[Cliente]],'BASE DE CLIENTES'!A:E,5,0)</f>
        <v>MERCADO LIVRE</v>
      </c>
    </row>
    <row r="6412" spans="2:12" x14ac:dyDescent="0.3">
      <c r="B6412" t="s">
        <v>42</v>
      </c>
      <c r="C6412" s="1" t="str">
        <f>VLOOKUP(Tabela1[[#This Row],[Cliente]],'BASE DE CLIENTES'!A:E,2,0)</f>
        <v>Brasília</v>
      </c>
      <c r="D6412" s="1" t="str">
        <f>VLOOKUP(Tabela1[[#This Row],[Cliente]],'BASE DE CLIENTES'!A:C,3,0)</f>
        <v>DF</v>
      </c>
      <c r="E6412" s="1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3">
        <f>Tabela1[[#This Row],[MARGEM BRUTA]]/Tabela1[[#This Row],[Valor total]]</f>
        <v>0.62480000000000002</v>
      </c>
      <c r="K6412" s="1" t="str">
        <f>VLOOKUP(Tabela1[[#This Row],[Cliente]],'BASE DE CLIENTES'!A:D,4,0)</f>
        <v>EMPRESA SEM MAQUINA</v>
      </c>
      <c r="L6412" s="1" t="str">
        <f>VLOOKUP(Tabela1[[#This Row],[Cliente]],'BASE DE CLIENTES'!A:E,5,0)</f>
        <v>SAMAMBAIA</v>
      </c>
    </row>
    <row r="6413" spans="2:12" x14ac:dyDescent="0.3">
      <c r="B6413" t="s">
        <v>190</v>
      </c>
      <c r="C6413" s="1" t="str">
        <f>VLOOKUP(Tabela1[[#This Row],[Cliente]],'BASE DE CLIENTES'!A:E,2,0)</f>
        <v>Brasília</v>
      </c>
      <c r="D6413" s="1" t="str">
        <f>VLOOKUP(Tabela1[[#This Row],[Cliente]],'BASE DE CLIENTES'!A:C,3,0)</f>
        <v>DF</v>
      </c>
      <c r="E6413" s="1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3">
        <f>Tabela1[[#This Row],[MARGEM BRUTA]]/Tabela1[[#This Row],[Valor total]]</f>
        <v>0.36666666666666664</v>
      </c>
      <c r="K6413" s="1" t="str">
        <f>VLOOKUP(Tabela1[[#This Row],[Cliente]],'BASE DE CLIENTES'!A:D,4,0)</f>
        <v>EMPRESA COM MAQUINA</v>
      </c>
      <c r="L6413" s="1" t="str">
        <f>VLOOKUP(Tabela1[[#This Row],[Cliente]],'BASE DE CLIENTES'!A:E,5,0)</f>
        <v>RIACHO FUNDO I</v>
      </c>
    </row>
    <row r="6414" spans="2:12" x14ac:dyDescent="0.3">
      <c r="B6414" t="s">
        <v>195</v>
      </c>
      <c r="C6414" s="1" t="str">
        <f>VLOOKUP(Tabela1[[#This Row],[Cliente]],'BASE DE CLIENTES'!A:E,2,0)</f>
        <v>Goiânia</v>
      </c>
      <c r="D6414" s="1" t="str">
        <f>VLOOKUP(Tabela1[[#This Row],[Cliente]],'BASE DE CLIENTES'!A:C,3,0)</f>
        <v>GO</v>
      </c>
      <c r="E6414" s="1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3">
        <f>Tabela1[[#This Row],[MARGEM BRUTA]]/Tabela1[[#This Row],[Valor total]]</f>
        <v>0.36556956521739126</v>
      </c>
      <c r="K6414" s="1" t="str">
        <f>VLOOKUP(Tabela1[[#This Row],[Cliente]],'BASE DE CLIENTES'!A:D,4,0)</f>
        <v>EMPRESA COM MAQUINA</v>
      </c>
      <c r="L6414" s="1" t="str">
        <f>VLOOKUP(Tabela1[[#This Row],[Cliente]],'BASE DE CLIENTES'!A:E,5,0)</f>
        <v>Goiânia</v>
      </c>
    </row>
    <row r="6415" spans="2:12" x14ac:dyDescent="0.3">
      <c r="B6415" t="s">
        <v>1313</v>
      </c>
      <c r="C6415" s="1" t="str">
        <f>VLOOKUP(Tabela1[[#This Row],[Cliente]],'BASE DE CLIENTES'!A:E,2,0)</f>
        <v>Brasília</v>
      </c>
      <c r="D6415" s="1" t="str">
        <f>VLOOKUP(Tabela1[[#This Row],[Cliente]],'BASE DE CLIENTES'!A:C,3,0)</f>
        <v>DF</v>
      </c>
      <c r="E6415" s="1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3">
        <f>Tabela1[[#This Row],[MARGEM BRUTA]]/Tabela1[[#This Row],[Valor total]]</f>
        <v>1</v>
      </c>
      <c r="K6415" s="1" t="str">
        <f>VLOOKUP(Tabela1[[#This Row],[Cliente]],'BASE DE CLIENTES'!A:D,4,0)</f>
        <v>CLIENTE NOVO S/ IDENT.</v>
      </c>
      <c r="L6415" s="1" t="str">
        <f>VLOOKUP(Tabela1[[#This Row],[Cliente]],'BASE DE CLIENTES'!A:E,5,0)</f>
        <v>ASA SUL</v>
      </c>
    </row>
    <row r="6416" spans="2:12" x14ac:dyDescent="0.3">
      <c r="B6416" t="s">
        <v>340</v>
      </c>
      <c r="C6416" s="1" t="str">
        <f>VLOOKUP(Tabela1[[#This Row],[Cliente]],'BASE DE CLIENTES'!A:E,2,0)</f>
        <v>Brasília</v>
      </c>
      <c r="D6416" s="1" t="str">
        <f>VLOOKUP(Tabela1[[#This Row],[Cliente]],'BASE DE CLIENTES'!A:C,3,0)</f>
        <v>DF</v>
      </c>
      <c r="E6416" s="1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3">
        <f>Tabela1[[#This Row],[MARGEM BRUTA]]/Tabela1[[#This Row],[Valor total]]</f>
        <v>0.62479999999999991</v>
      </c>
      <c r="K6416" s="1" t="str">
        <f>VLOOKUP(Tabela1[[#This Row],[Cliente]],'BASE DE CLIENTES'!A:D,4,0)</f>
        <v>CLIENTE NOVO S/ IDENT.</v>
      </c>
      <c r="L6416" s="1" t="str">
        <f>VLOOKUP(Tabela1[[#This Row],[Cliente]],'BASE DE CLIENTES'!A:E,5,0)</f>
        <v>Brasília</v>
      </c>
    </row>
    <row r="6417" spans="2:12" x14ac:dyDescent="0.3">
      <c r="B6417" t="s">
        <v>195</v>
      </c>
      <c r="C6417" s="1" t="str">
        <f>VLOOKUP(Tabela1[[#This Row],[Cliente]],'BASE DE CLIENTES'!A:E,2,0)</f>
        <v>Goiânia</v>
      </c>
      <c r="D6417" s="1" t="str">
        <f>VLOOKUP(Tabela1[[#This Row],[Cliente]],'BASE DE CLIENTES'!A:C,3,0)</f>
        <v>GO</v>
      </c>
      <c r="E6417" s="1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3">
        <f>Tabela1[[#This Row],[MARGEM BRUTA]]/Tabela1[[#This Row],[Valor total]]</f>
        <v>0.34161333333333338</v>
      </c>
      <c r="K6417" s="1" t="str">
        <f>VLOOKUP(Tabela1[[#This Row],[Cliente]],'BASE DE CLIENTES'!A:D,4,0)</f>
        <v>EMPRESA COM MAQUINA</v>
      </c>
      <c r="L6417" s="1" t="str">
        <f>VLOOKUP(Tabela1[[#This Row],[Cliente]],'BASE DE CLIENTES'!A:E,5,0)</f>
        <v>Goiânia</v>
      </c>
    </row>
    <row r="6418" spans="2:12" x14ac:dyDescent="0.3">
      <c r="B6418" t="s">
        <v>17</v>
      </c>
      <c r="C6418" s="1" t="str">
        <f>VLOOKUP(Tabela1[[#This Row],[Cliente]],'BASE DE CLIENTES'!A:E,2,0)</f>
        <v>Águas Lindas de Goiás</v>
      </c>
      <c r="D6418" s="1" t="str">
        <f>VLOOKUP(Tabela1[[#This Row],[Cliente]],'BASE DE CLIENTES'!A:C,3,0)</f>
        <v>GO</v>
      </c>
      <c r="E6418" s="1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3">
        <f>Tabela1[[#This Row],[MARGEM BRUTA]]/Tabela1[[#This Row],[Valor total]]</f>
        <v>0.41552508361204016</v>
      </c>
      <c r="K6418" s="1" t="str">
        <f>VLOOKUP(Tabela1[[#This Row],[Cliente]],'BASE DE CLIENTES'!A:D,4,0)</f>
        <v>SERRALHEIRO</v>
      </c>
      <c r="L6418" s="1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1" t="str">
        <f>VLOOKUP(Tabela1[[#This Row],[Cliente]],'BASE DE CLIENTES'!A:E,2,0)</f>
        <v>Brasília</v>
      </c>
      <c r="D6419" s="1" t="str">
        <f>VLOOKUP(Tabela1[[#This Row],[Cliente]],'BASE DE CLIENTES'!A:C,3,0)</f>
        <v>DF</v>
      </c>
      <c r="E6419" s="1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3">
        <f>Tabela1[[#This Row],[MARGEM BRUTA]]/Tabela1[[#This Row],[Valor total]]</f>
        <v>0.46390526315789471</v>
      </c>
      <c r="K6419" s="1" t="str">
        <f>VLOOKUP(Tabela1[[#This Row],[Cliente]],'BASE DE CLIENTES'!A:D,4,0)</f>
        <v>EMPRESA SEM MAQUINA</v>
      </c>
      <c r="L6419" s="1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1" t="str">
        <f>VLOOKUP(Tabela1[[#This Row],[Cliente]],'BASE DE CLIENTES'!A:E,2,0)</f>
        <v>Brasília</v>
      </c>
      <c r="D6420" s="1" t="str">
        <f>VLOOKUP(Tabela1[[#This Row],[Cliente]],'BASE DE CLIENTES'!A:C,3,0)</f>
        <v>DF</v>
      </c>
      <c r="E6420" s="1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3">
        <f>Tabela1[[#This Row],[MARGEM BRUTA]]/Tabela1[[#This Row],[Valor total]]</f>
        <v>0.45283018867924529</v>
      </c>
      <c r="K6420" s="1" t="str">
        <f>VLOOKUP(Tabela1[[#This Row],[Cliente]],'BASE DE CLIENTES'!A:D,4,0)</f>
        <v>SERRALHEIRO</v>
      </c>
      <c r="L6420" s="1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1" t="str">
        <f>VLOOKUP(Tabela1[[#This Row],[Cliente]],'BASE DE CLIENTES'!A:E,2,0)</f>
        <v>Brasília</v>
      </c>
      <c r="D6421" s="1" t="str">
        <f>VLOOKUP(Tabela1[[#This Row],[Cliente]],'BASE DE CLIENTES'!A:C,3,0)</f>
        <v>DF</v>
      </c>
      <c r="E6421" s="1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3">
        <f>Tabela1[[#This Row],[MARGEM BRUTA]]/Tabela1[[#This Row],[Valor total]]</f>
        <v>0.48571428571428571</v>
      </c>
      <c r="K6421" s="1" t="str">
        <f>VLOOKUP(Tabela1[[#This Row],[Cliente]],'BASE DE CLIENTES'!A:D,4,0)</f>
        <v>EMPRESA COM MAQUINA</v>
      </c>
      <c r="L6421" s="1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1" t="str">
        <f>VLOOKUP(Tabela1[[#This Row],[Cliente]],'BASE DE CLIENTES'!A:E,2,0)</f>
        <v>Brasília</v>
      </c>
      <c r="D6422" s="1" t="str">
        <f>VLOOKUP(Tabela1[[#This Row],[Cliente]],'BASE DE CLIENTES'!A:C,3,0)</f>
        <v>DF</v>
      </c>
      <c r="E6422" s="1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3">
        <f>Tabela1[[#This Row],[MARGEM BRUTA]]/Tabela1[[#This Row],[Valor total]]</f>
        <v>0.40005727376861394</v>
      </c>
      <c r="K6422" s="1" t="str">
        <f>VLOOKUP(Tabela1[[#This Row],[Cliente]],'BASE DE CLIENTES'!A:D,4,0)</f>
        <v>SERRALHEIRO</v>
      </c>
      <c r="L6422" s="1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1" t="str">
        <f>VLOOKUP(Tabela1[[#This Row],[Cliente]],'BASE DE CLIENTES'!A:E,2,0)</f>
        <v>Brasília</v>
      </c>
      <c r="D6423" s="1" t="str">
        <f>VLOOKUP(Tabela1[[#This Row],[Cliente]],'BASE DE CLIENTES'!A:C,3,0)</f>
        <v>DF</v>
      </c>
      <c r="E6423" s="1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3">
        <f>Tabela1[[#This Row],[MARGEM BRUTA]]/Tabela1[[#This Row],[Valor total]]</f>
        <v>0.38775510204081631</v>
      </c>
      <c r="K6423" s="1" t="str">
        <f>VLOOKUP(Tabela1[[#This Row],[Cliente]],'BASE DE CLIENTES'!A:D,4,0)</f>
        <v>EMPRESA COM MAQUINA</v>
      </c>
      <c r="L6423" s="1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1" t="str">
        <f>VLOOKUP(Tabela1[[#This Row],[Cliente]],'BASE DE CLIENTES'!A:E,2,0)</f>
        <v>Brasília</v>
      </c>
      <c r="D6424" s="1" t="str">
        <f>VLOOKUP(Tabela1[[#This Row],[Cliente]],'BASE DE CLIENTES'!A:C,3,0)</f>
        <v>DF</v>
      </c>
      <c r="E6424" s="1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3">
        <f>Tabela1[[#This Row],[MARGEM BRUTA]]/Tabela1[[#This Row],[Valor total]]</f>
        <v>0.33213701341543878</v>
      </c>
      <c r="K6424" s="1" t="str">
        <f>VLOOKUP(Tabela1[[#This Row],[Cliente]],'BASE DE CLIENTES'!A:D,4,0)</f>
        <v>EMPRESA COM MAQUINA</v>
      </c>
      <c r="L6424" s="1" t="str">
        <f>VLOOKUP(Tabela1[[#This Row],[Cliente]],'BASE DE CLIENTES'!A:E,5,0)</f>
        <v>RIACHO FUNDO II</v>
      </c>
    </row>
    <row r="6425" spans="2:12" x14ac:dyDescent="0.3">
      <c r="B6425" t="s">
        <v>149</v>
      </c>
      <c r="C6425" s="1" t="str">
        <f>VLOOKUP(Tabela1[[#This Row],[Cliente]],'BASE DE CLIENTES'!A:E,2,0)</f>
        <v>Anápolis</v>
      </c>
      <c r="D6425" s="1" t="str">
        <f>VLOOKUP(Tabela1[[#This Row],[Cliente]],'BASE DE CLIENTES'!A:C,3,0)</f>
        <v>GO</v>
      </c>
      <c r="E6425" s="1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3">
        <f>Tabela1[[#This Row],[MARGEM BRUTA]]/Tabela1[[#This Row],[Valor total]]</f>
        <v>0.35359477124183009</v>
      </c>
      <c r="K6425" s="1" t="str">
        <f>VLOOKUP(Tabela1[[#This Row],[Cliente]],'BASE DE CLIENTES'!A:D,4,0)</f>
        <v>EMPRESA COM MAQUINA</v>
      </c>
      <c r="L6425" s="1" t="str">
        <f>VLOOKUP(Tabela1[[#This Row],[Cliente]],'BASE DE CLIENTES'!A:E,5,0)</f>
        <v>Anápolis</v>
      </c>
    </row>
    <row r="6426" spans="2:12" x14ac:dyDescent="0.3">
      <c r="B6426" t="s">
        <v>42</v>
      </c>
      <c r="C6426" s="1" t="str">
        <f>VLOOKUP(Tabela1[[#This Row],[Cliente]],'BASE DE CLIENTES'!A:E,2,0)</f>
        <v>Brasília</v>
      </c>
      <c r="D6426" s="1" t="str">
        <f>VLOOKUP(Tabela1[[#This Row],[Cliente]],'BASE DE CLIENTES'!A:C,3,0)</f>
        <v>DF</v>
      </c>
      <c r="E6426" s="1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3">
        <f>Tabela1[[#This Row],[MARGEM BRUTA]]/Tabela1[[#This Row],[Valor total]]</f>
        <v>0.38585064935064939</v>
      </c>
      <c r="K6426" s="1" t="str">
        <f>VLOOKUP(Tabela1[[#This Row],[Cliente]],'BASE DE CLIENTES'!A:D,4,0)</f>
        <v>EMPRESA SEM MAQUINA</v>
      </c>
      <c r="L6426" s="1" t="str">
        <f>VLOOKUP(Tabela1[[#This Row],[Cliente]],'BASE DE CLIENTES'!A:E,5,0)</f>
        <v>SAMAMBAIA</v>
      </c>
    </row>
    <row r="6427" spans="2:12" x14ac:dyDescent="0.3">
      <c r="B6427" t="s">
        <v>1223</v>
      </c>
      <c r="C6427" s="1" t="str">
        <f>VLOOKUP(Tabela1[[#This Row],[Cliente]],'BASE DE CLIENTES'!A:E,2,0)</f>
        <v>MERCADO LIVRE</v>
      </c>
      <c r="D6427" s="1" t="str">
        <f>VLOOKUP(Tabela1[[#This Row],[Cliente]],'BASE DE CLIENTES'!A:C,3,0)</f>
        <v>MERCADO LIVRE</v>
      </c>
      <c r="E6427" s="1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3">
        <f>Tabela1[[#This Row],[MARGEM BRUTA]]/Tabela1[[#This Row],[Valor total]]</f>
        <v>0.34092694422623721</v>
      </c>
      <c r="K6427" s="1" t="str">
        <f>VLOOKUP(Tabela1[[#This Row],[Cliente]],'BASE DE CLIENTES'!A:D,4,0)</f>
        <v>OUTROS RAMOS</v>
      </c>
      <c r="L6427" s="1" t="str">
        <f>VLOOKUP(Tabela1[[#This Row],[Cliente]],'BASE DE CLIENTES'!A:E,5,0)</f>
        <v>MERCADO LIVRE</v>
      </c>
    </row>
    <row r="6428" spans="2:12" x14ac:dyDescent="0.3">
      <c r="B6428" t="s">
        <v>23</v>
      </c>
      <c r="C6428" s="1" t="str">
        <f>VLOOKUP(Tabela1[[#This Row],[Cliente]],'BASE DE CLIENTES'!A:E,2,0)</f>
        <v>Brasília</v>
      </c>
      <c r="D6428" s="1" t="str">
        <f>VLOOKUP(Tabela1[[#This Row],[Cliente]],'BASE DE CLIENTES'!A:C,3,0)</f>
        <v>DF</v>
      </c>
      <c r="E6428" s="1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3">
        <f>Tabela1[[#This Row],[MARGEM BRUTA]]/Tabela1[[#This Row],[Valor total]]</f>
        <v>0.35176000000000002</v>
      </c>
      <c r="K6428" s="1" t="str">
        <f>VLOOKUP(Tabela1[[#This Row],[Cliente]],'BASE DE CLIENTES'!A:D,4,0)</f>
        <v>EMPRESA SEM MAQUINA</v>
      </c>
      <c r="L6428" s="1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1" t="str">
        <f>VLOOKUP(Tabela1[[#This Row],[Cliente]],'BASE DE CLIENTES'!A:E,2,0)</f>
        <v>MERCADO LIVRE</v>
      </c>
      <c r="D6429" s="1" t="str">
        <f>VLOOKUP(Tabela1[[#This Row],[Cliente]],'BASE DE CLIENTES'!A:C,3,0)</f>
        <v>MERCADO LIVRE</v>
      </c>
      <c r="E6429" s="1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3">
        <f>Tabela1[[#This Row],[MARGEM BRUTA]]/Tabela1[[#This Row],[Valor total]]</f>
        <v>0.71708641230583625</v>
      </c>
      <c r="K6429" s="1" t="str">
        <f>VLOOKUP(Tabela1[[#This Row],[Cliente]],'BASE DE CLIENTES'!A:D,4,0)</f>
        <v>OUTROS RAMOS</v>
      </c>
      <c r="L6429" s="1" t="str">
        <f>VLOOKUP(Tabela1[[#This Row],[Cliente]],'BASE DE CLIENTES'!A:E,5,0)</f>
        <v>MERCADO LIVRE</v>
      </c>
    </row>
    <row r="6430" spans="2:12" x14ac:dyDescent="0.3">
      <c r="B6430" t="s">
        <v>130</v>
      </c>
      <c r="C6430" s="1" t="str">
        <f>VLOOKUP(Tabela1[[#This Row],[Cliente]],'BASE DE CLIENTES'!A:E,2,0)</f>
        <v>Brasília</v>
      </c>
      <c r="D6430" s="1" t="str">
        <f>VLOOKUP(Tabela1[[#This Row],[Cliente]],'BASE DE CLIENTES'!A:C,3,0)</f>
        <v>DF</v>
      </c>
      <c r="E6430" s="1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3">
        <f>Tabela1[[#This Row],[MARGEM BRUTA]]/Tabela1[[#This Row],[Valor total]]</f>
        <v>0.62480000000000002</v>
      </c>
      <c r="K6430" s="1" t="str">
        <f>VLOOKUP(Tabela1[[#This Row],[Cliente]],'BASE DE CLIENTES'!A:D,4,0)</f>
        <v>EMPRESA SEM MAQUINA</v>
      </c>
      <c r="L6430" s="1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1" t="str">
        <f>VLOOKUP(Tabela1[[#This Row],[Cliente]],'BASE DE CLIENTES'!A:E,2,0)</f>
        <v>Brasília</v>
      </c>
      <c r="D6431" s="1" t="str">
        <f>VLOOKUP(Tabela1[[#This Row],[Cliente]],'BASE DE CLIENTES'!A:C,3,0)</f>
        <v>DF</v>
      </c>
      <c r="E6431" s="1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3">
        <f>Tabela1[[#This Row],[MARGEM BRUTA]]/Tabela1[[#This Row],[Valor total]]</f>
        <v>0.39386928104575164</v>
      </c>
      <c r="K6431" s="1" t="str">
        <f>VLOOKUP(Tabela1[[#This Row],[Cliente]],'BASE DE CLIENTES'!A:D,4,0)</f>
        <v>SERRALHEIRO</v>
      </c>
      <c r="L6431" s="1" t="str">
        <f>VLOOKUP(Tabela1[[#This Row],[Cliente]],'BASE DE CLIENTES'!A:E,5,0)</f>
        <v>NA</v>
      </c>
    </row>
    <row r="6432" spans="2:12" x14ac:dyDescent="0.3">
      <c r="B6432" t="s">
        <v>15</v>
      </c>
      <c r="C6432" s="1" t="str">
        <f>VLOOKUP(Tabela1[[#This Row],[Cliente]],'BASE DE CLIENTES'!A:E,2,0)</f>
        <v>Brasília</v>
      </c>
      <c r="D6432" s="1" t="str">
        <f>VLOOKUP(Tabela1[[#This Row],[Cliente]],'BASE DE CLIENTES'!A:C,3,0)</f>
        <v>DF</v>
      </c>
      <c r="E6432" s="1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3">
        <f>Tabela1[[#This Row],[MARGEM BRUTA]]/Tabela1[[#This Row],[Valor total]]</f>
        <v>1</v>
      </c>
      <c r="K6432" s="1" t="str">
        <f>VLOOKUP(Tabela1[[#This Row],[Cliente]],'BASE DE CLIENTES'!A:D,4,0)</f>
        <v>SERRALHEIRO</v>
      </c>
      <c r="L6432" s="1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1" t="str">
        <f>VLOOKUP(Tabela1[[#This Row],[Cliente]],'BASE DE CLIENTES'!A:E,2,0)</f>
        <v>Brasília</v>
      </c>
      <c r="D6433" s="1" t="str">
        <f>VLOOKUP(Tabela1[[#This Row],[Cliente]],'BASE DE CLIENTES'!A:C,3,0)</f>
        <v>DF</v>
      </c>
      <c r="E6433" s="1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3">
        <f>Tabela1[[#This Row],[MARGEM BRUTA]]/Tabela1[[#This Row],[Valor total]]</f>
        <v>0.34859196617336158</v>
      </c>
      <c r="K6433" s="1" t="str">
        <f>VLOOKUP(Tabela1[[#This Row],[Cliente]],'BASE DE CLIENTES'!A:D,4,0)</f>
        <v>EMPRESA COM MAQUINA</v>
      </c>
      <c r="L6433" s="1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1" t="str">
        <f>VLOOKUP(Tabela1[[#This Row],[Cliente]],'BASE DE CLIENTES'!A:E,2,0)</f>
        <v>Brasília</v>
      </c>
      <c r="D6434" s="1" t="str">
        <f>VLOOKUP(Tabela1[[#This Row],[Cliente]],'BASE DE CLIENTES'!A:C,3,0)</f>
        <v>DF</v>
      </c>
      <c r="E6434" s="1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3">
        <f>Tabela1[[#This Row],[MARGEM BRUTA]]/Tabela1[[#This Row],[Valor total]]</f>
        <v>0.81</v>
      </c>
      <c r="K6434" s="1" t="str">
        <f>VLOOKUP(Tabela1[[#This Row],[Cliente]],'BASE DE CLIENTES'!A:D,4,0)</f>
        <v>SEM CLASSIFICAÇÃO</v>
      </c>
      <c r="L6434" s="1" t="str">
        <f>VLOOKUP(Tabela1[[#This Row],[Cliente]],'BASE DE CLIENTES'!A:E,5,0)</f>
        <v>ASA SUL</v>
      </c>
    </row>
    <row r="6435" spans="2:12" x14ac:dyDescent="0.3">
      <c r="B6435" t="s">
        <v>36</v>
      </c>
      <c r="C6435" s="1" t="str">
        <f>VLOOKUP(Tabela1[[#This Row],[Cliente]],'BASE DE CLIENTES'!A:E,2,0)</f>
        <v>Brasília</v>
      </c>
      <c r="D6435" s="1" t="str">
        <f>VLOOKUP(Tabela1[[#This Row],[Cliente]],'BASE DE CLIENTES'!A:C,3,0)</f>
        <v>DF</v>
      </c>
      <c r="E6435" s="1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3">
        <f>Tabela1[[#This Row],[MARGEM BRUTA]]/Tabela1[[#This Row],[Valor total]]</f>
        <v>0.74666666666666659</v>
      </c>
      <c r="K6435" s="1" t="str">
        <f>VLOOKUP(Tabela1[[#This Row],[Cliente]],'BASE DE CLIENTES'!A:D,4,0)</f>
        <v>SERRALHEIRO</v>
      </c>
      <c r="L6435" s="1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1" t="str">
        <f>VLOOKUP(Tabela1[[#This Row],[Cliente]],'BASE DE CLIENTES'!A:E,2,0)</f>
        <v>Brasília</v>
      </c>
      <c r="D6436" s="1" t="str">
        <f>VLOOKUP(Tabela1[[#This Row],[Cliente]],'BASE DE CLIENTES'!A:C,3,0)</f>
        <v>DF</v>
      </c>
      <c r="E6436" s="1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3">
        <f>Tabela1[[#This Row],[MARGEM BRUTA]]/Tabela1[[#This Row],[Valor total]]</f>
        <v>0.23076923076923078</v>
      </c>
      <c r="K6436" s="1" t="str">
        <f>VLOOKUP(Tabela1[[#This Row],[Cliente]],'BASE DE CLIENTES'!A:D,4,0)</f>
        <v>CLIENTE NOVO S/ IDENT.</v>
      </c>
      <c r="L6436" s="1" t="str">
        <f>VLOOKUP(Tabela1[[#This Row],[Cliente]],'BASE DE CLIENTES'!A:E,5,0)</f>
        <v>SAMAMBAIA SUL</v>
      </c>
    </row>
    <row r="6437" spans="2:12" x14ac:dyDescent="0.3">
      <c r="B6437" t="s">
        <v>52</v>
      </c>
      <c r="C6437" s="1" t="str">
        <f>VLOOKUP(Tabela1[[#This Row],[Cliente]],'BASE DE CLIENTES'!A:E,2,0)</f>
        <v>Brasília</v>
      </c>
      <c r="D6437" s="1" t="str">
        <f>VLOOKUP(Tabela1[[#This Row],[Cliente]],'BASE DE CLIENTES'!A:C,3,0)</f>
        <v>DF</v>
      </c>
      <c r="E6437" s="1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3">
        <f>Tabela1[[#This Row],[MARGEM BRUTA]]/Tabela1[[#This Row],[Valor total]]</f>
        <v>0.78285714285714281</v>
      </c>
      <c r="K6437" s="1" t="str">
        <f>VLOOKUP(Tabela1[[#This Row],[Cliente]],'BASE DE CLIENTES'!A:D,4,0)</f>
        <v>SERRALHEIRO</v>
      </c>
      <c r="L6437" s="1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1" t="str">
        <f>VLOOKUP(Tabela1[[#This Row],[Cliente]],'BASE DE CLIENTES'!A:E,2,0)</f>
        <v>Brasília</v>
      </c>
      <c r="D6438" s="1" t="str">
        <f>VLOOKUP(Tabela1[[#This Row],[Cliente]],'BASE DE CLIENTES'!A:C,3,0)</f>
        <v>DF</v>
      </c>
      <c r="E6438" s="1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3">
        <f>Tabela1[[#This Row],[MARGEM BRUTA]]/Tabela1[[#This Row],[Valor total]]</f>
        <v>0.42121428571428571</v>
      </c>
      <c r="K6438" s="1" t="str">
        <f>VLOOKUP(Tabela1[[#This Row],[Cliente]],'BASE DE CLIENTES'!A:D,4,0)</f>
        <v>CLIENTE NOVO S/ IDENT.</v>
      </c>
      <c r="L6438" s="1" t="str">
        <f>VLOOKUP(Tabela1[[#This Row],[Cliente]],'BASE DE CLIENTES'!A:E,5,0)</f>
        <v>TAGUATINGA</v>
      </c>
    </row>
    <row r="6439" spans="2:12" x14ac:dyDescent="0.3">
      <c r="B6439" t="s">
        <v>1229</v>
      </c>
      <c r="C6439" s="1" t="str">
        <f>VLOOKUP(Tabela1[[#This Row],[Cliente]],'BASE DE CLIENTES'!A:E,2,0)</f>
        <v>Brasília</v>
      </c>
      <c r="D6439" s="1" t="str">
        <f>VLOOKUP(Tabela1[[#This Row],[Cliente]],'BASE DE CLIENTES'!A:C,3,0)</f>
        <v>DF</v>
      </c>
      <c r="E6439" s="1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3">
        <f>Tabela1[[#This Row],[MARGEM BRUTA]]/Tabela1[[#This Row],[Valor total]]</f>
        <v>0.44166666666666665</v>
      </c>
      <c r="K6439" s="1" t="str">
        <f>VLOOKUP(Tabela1[[#This Row],[Cliente]],'BASE DE CLIENTES'!A:D,4,0)</f>
        <v>CLIENTE NOVO S/ IDENT.</v>
      </c>
      <c r="L6439" s="1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1" t="str">
        <f>VLOOKUP(Tabela1[[#This Row],[Cliente]],'BASE DE CLIENTES'!A:E,2,0)</f>
        <v>Brasília</v>
      </c>
      <c r="D6440" s="1" t="str">
        <f>VLOOKUP(Tabela1[[#This Row],[Cliente]],'BASE DE CLIENTES'!A:C,3,0)</f>
        <v>DF</v>
      </c>
      <c r="E6440" s="1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3">
        <f>Tabela1[[#This Row],[MARGEM BRUTA]]/Tabela1[[#This Row],[Valor total]]</f>
        <v>0.32692307692307693</v>
      </c>
      <c r="K6440" s="1" t="str">
        <f>VLOOKUP(Tabela1[[#This Row],[Cliente]],'BASE DE CLIENTES'!A:D,4,0)</f>
        <v>SERRALHEIRO</v>
      </c>
      <c r="L6440" s="1" t="str">
        <f>VLOOKUP(Tabela1[[#This Row],[Cliente]],'BASE DE CLIENTES'!A:E,5,0)</f>
        <v>Vila Planalto</v>
      </c>
    </row>
    <row r="6441" spans="2:12" x14ac:dyDescent="0.3">
      <c r="B6441" t="s">
        <v>30</v>
      </c>
      <c r="C6441" s="1" t="str">
        <f>VLOOKUP(Tabela1[[#This Row],[Cliente]],'BASE DE CLIENTES'!A:E,2,0)</f>
        <v>Águas Lindas de Goiás</v>
      </c>
      <c r="D6441" s="1" t="str">
        <f>VLOOKUP(Tabela1[[#This Row],[Cliente]],'BASE DE CLIENTES'!A:C,3,0)</f>
        <v>GO</v>
      </c>
      <c r="E6441" s="1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3">
        <f>Tabela1[[#This Row],[MARGEM BRUTA]]/Tabela1[[#This Row],[Valor total]]</f>
        <v>-0.38144329896907214</v>
      </c>
      <c r="K6441" s="1" t="str">
        <f>VLOOKUP(Tabela1[[#This Row],[Cliente]],'BASE DE CLIENTES'!A:D,4,0)</f>
        <v>SERRALHEIRO</v>
      </c>
      <c r="L6441" s="1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1" t="str">
        <f>VLOOKUP(Tabela1[[#This Row],[Cliente]],'BASE DE CLIENTES'!A:E,2,0)</f>
        <v>Brasília</v>
      </c>
      <c r="D6442" s="1" t="str">
        <f>VLOOKUP(Tabela1[[#This Row],[Cliente]],'BASE DE CLIENTES'!A:C,3,0)</f>
        <v>DF</v>
      </c>
      <c r="E6442" s="1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3">
        <f>Tabela1[[#This Row],[MARGEM BRUTA]]/Tabela1[[#This Row],[Valor total]]</f>
        <v>0.3504273504273504</v>
      </c>
      <c r="K6442" s="1" t="str">
        <f>VLOOKUP(Tabela1[[#This Row],[Cliente]],'BASE DE CLIENTES'!A:D,4,0)</f>
        <v>EMPRESA COM MAQUINA</v>
      </c>
      <c r="L6442" s="1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1" t="str">
        <f>VLOOKUP(Tabela1[[#This Row],[Cliente]],'BASE DE CLIENTES'!A:E,2,0)</f>
        <v>Brasília</v>
      </c>
      <c r="D6443" s="1" t="str">
        <f>VLOOKUP(Tabela1[[#This Row],[Cliente]],'BASE DE CLIENTES'!A:C,3,0)</f>
        <v>DF</v>
      </c>
      <c r="E6443" s="1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3">
        <f>Tabela1[[#This Row],[MARGEM BRUTA]]/Tabela1[[#This Row],[Valor total]]</f>
        <v>0.3758989898989899</v>
      </c>
      <c r="K6443" s="1" t="str">
        <f>VLOOKUP(Tabela1[[#This Row],[Cliente]],'BASE DE CLIENTES'!A:D,4,0)</f>
        <v>EMPRESA COM MAQUINA</v>
      </c>
      <c r="L6443" s="1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1" t="str">
        <f>VLOOKUP(Tabela1[[#This Row],[Cliente]],'BASE DE CLIENTES'!A:E,2,0)</f>
        <v>Brasília</v>
      </c>
      <c r="D6444" s="1" t="str">
        <f>VLOOKUP(Tabela1[[#This Row],[Cliente]],'BASE DE CLIENTES'!A:C,3,0)</f>
        <v>DF</v>
      </c>
      <c r="E6444" s="1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3">
        <f>Tabela1[[#This Row],[MARGEM BRUTA]]/Tabela1[[#This Row],[Valor total]]</f>
        <v>0.39136842105263159</v>
      </c>
      <c r="K6444" s="1" t="str">
        <f>VLOOKUP(Tabela1[[#This Row],[Cliente]],'BASE DE CLIENTES'!A:D,4,0)</f>
        <v>EMPRESA SEM MAQUINA</v>
      </c>
      <c r="L6444" s="1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1" t="str">
        <f>VLOOKUP(Tabela1[[#This Row],[Cliente]],'BASE DE CLIENTES'!A:E,2,0)</f>
        <v>MERCADO LIVRE</v>
      </c>
      <c r="D6445" s="1" t="str">
        <f>VLOOKUP(Tabela1[[#This Row],[Cliente]],'BASE DE CLIENTES'!A:C,3,0)</f>
        <v>MERCADO LIVRE</v>
      </c>
      <c r="E6445" s="1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3">
        <f>Tabela1[[#This Row],[MARGEM BRUTA]]/Tabela1[[#This Row],[Valor total]]</f>
        <v>0.34092694422623715</v>
      </c>
      <c r="K6445" s="1" t="str">
        <f>VLOOKUP(Tabela1[[#This Row],[Cliente]],'BASE DE CLIENTES'!A:D,4,0)</f>
        <v>OUTROS RAMOS</v>
      </c>
      <c r="L6445" s="1" t="str">
        <f>VLOOKUP(Tabela1[[#This Row],[Cliente]],'BASE DE CLIENTES'!A:E,5,0)</f>
        <v>MERCADO LIVRE</v>
      </c>
    </row>
    <row r="6446" spans="2:12" x14ac:dyDescent="0.3">
      <c r="B6446" t="s">
        <v>1223</v>
      </c>
      <c r="C6446" s="1" t="str">
        <f>VLOOKUP(Tabela1[[#This Row],[Cliente]],'BASE DE CLIENTES'!A:E,2,0)</f>
        <v>MERCADO LIVRE</v>
      </c>
      <c r="D6446" s="1" t="str">
        <f>VLOOKUP(Tabela1[[#This Row],[Cliente]],'BASE DE CLIENTES'!A:C,3,0)</f>
        <v>MERCADO LIVRE</v>
      </c>
      <c r="E6446" s="1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3">
        <f>Tabela1[[#This Row],[MARGEM BRUTA]]/Tabela1[[#This Row],[Valor total]]</f>
        <v>0.6056016506431362</v>
      </c>
      <c r="K6446" s="1" t="str">
        <f>VLOOKUP(Tabela1[[#This Row],[Cliente]],'BASE DE CLIENTES'!A:D,4,0)</f>
        <v>OUTROS RAMOS</v>
      </c>
      <c r="L6446" s="1" t="str">
        <f>VLOOKUP(Tabela1[[#This Row],[Cliente]],'BASE DE CLIENTES'!A:E,5,0)</f>
        <v>MERCADO LIVRE</v>
      </c>
    </row>
    <row r="6447" spans="2:12" x14ac:dyDescent="0.3">
      <c r="B6447" t="s">
        <v>1223</v>
      </c>
      <c r="C6447" s="1" t="str">
        <f>VLOOKUP(Tabela1[[#This Row],[Cliente]],'BASE DE CLIENTES'!A:E,2,0)</f>
        <v>MERCADO LIVRE</v>
      </c>
      <c r="D6447" s="1" t="str">
        <f>VLOOKUP(Tabela1[[#This Row],[Cliente]],'BASE DE CLIENTES'!A:C,3,0)</f>
        <v>MERCADO LIVRE</v>
      </c>
      <c r="E6447" s="1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3">
        <f>Tabela1[[#This Row],[MARGEM BRUTA]]/Tabela1[[#This Row],[Valor total]]</f>
        <v>1</v>
      </c>
      <c r="K6447" s="1" t="str">
        <f>VLOOKUP(Tabela1[[#This Row],[Cliente]],'BASE DE CLIENTES'!A:D,4,0)</f>
        <v>OUTROS RAMOS</v>
      </c>
      <c r="L6447" s="1" t="str">
        <f>VLOOKUP(Tabela1[[#This Row],[Cliente]],'BASE DE CLIENTES'!A:E,5,0)</f>
        <v>MERCADO LIVRE</v>
      </c>
    </row>
    <row r="6448" spans="2:12" x14ac:dyDescent="0.3">
      <c r="B6448" t="s">
        <v>42</v>
      </c>
      <c r="C6448" s="1" t="str">
        <f>VLOOKUP(Tabela1[[#This Row],[Cliente]],'BASE DE CLIENTES'!A:E,2,0)</f>
        <v>Brasília</v>
      </c>
      <c r="D6448" s="1" t="str">
        <f>VLOOKUP(Tabela1[[#This Row],[Cliente]],'BASE DE CLIENTES'!A:C,3,0)</f>
        <v>DF</v>
      </c>
      <c r="E6448" s="1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3">
        <f>Tabela1[[#This Row],[MARGEM BRUTA]]/Tabela1[[#This Row],[Valor total]]</f>
        <v>0.3545399061032864</v>
      </c>
      <c r="K6448" s="1" t="str">
        <f>VLOOKUP(Tabela1[[#This Row],[Cliente]],'BASE DE CLIENTES'!A:D,4,0)</f>
        <v>EMPRESA SEM MAQUINA</v>
      </c>
      <c r="L6448" s="1" t="str">
        <f>VLOOKUP(Tabela1[[#This Row],[Cliente]],'BASE DE CLIENTES'!A:E,5,0)</f>
        <v>SAMAMBAIA</v>
      </c>
    </row>
    <row r="6449" spans="2:12" x14ac:dyDescent="0.3">
      <c r="B6449" t="s">
        <v>206</v>
      </c>
      <c r="C6449" s="1" t="str">
        <f>VLOOKUP(Tabela1[[#This Row],[Cliente]],'BASE DE CLIENTES'!A:E,2,0)</f>
        <v>Goiânia</v>
      </c>
      <c r="D6449" s="1" t="str">
        <f>VLOOKUP(Tabela1[[#This Row],[Cliente]],'BASE DE CLIENTES'!A:C,3,0)</f>
        <v>GO</v>
      </c>
      <c r="E6449" s="1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3">
        <f>Tabela1[[#This Row],[MARGEM BRUTA]]/Tabela1[[#This Row],[Valor total]]</f>
        <v>0.35654489164086689</v>
      </c>
      <c r="K6449" s="1" t="str">
        <f>VLOOKUP(Tabela1[[#This Row],[Cliente]],'BASE DE CLIENTES'!A:D,4,0)</f>
        <v>EMPRESA COM MAQUINA</v>
      </c>
      <c r="L6449" s="1" t="str">
        <f>VLOOKUP(Tabela1[[#This Row],[Cliente]],'BASE DE CLIENTES'!A:E,5,0)</f>
        <v>Goiânia</v>
      </c>
    </row>
    <row r="6450" spans="2:12" x14ac:dyDescent="0.3">
      <c r="B6450" t="s">
        <v>309</v>
      </c>
      <c r="C6450" s="1" t="str">
        <f>VLOOKUP(Tabela1[[#This Row],[Cliente]],'BASE DE CLIENTES'!A:E,2,0)</f>
        <v>Uberlândia</v>
      </c>
      <c r="D6450" s="1" t="str">
        <f>VLOOKUP(Tabela1[[#This Row],[Cliente]],'BASE DE CLIENTES'!A:C,3,0)</f>
        <v>MG</v>
      </c>
      <c r="E6450" s="1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3">
        <f>Tabela1[[#This Row],[MARGEM BRUTA]]/Tabela1[[#This Row],[Valor total]]</f>
        <v>0.33360314685314685</v>
      </c>
      <c r="K6450" s="1" t="str">
        <f>VLOOKUP(Tabela1[[#This Row],[Cliente]],'BASE DE CLIENTES'!A:D,4,0)</f>
        <v>EMPRESA COM MAQUINA</v>
      </c>
      <c r="L6450" s="1" t="str">
        <f>VLOOKUP(Tabela1[[#This Row],[Cliente]],'BASE DE CLIENTES'!A:E,5,0)</f>
        <v>Uberlândia</v>
      </c>
    </row>
    <row r="6451" spans="2:12" x14ac:dyDescent="0.3">
      <c r="B6451" t="s">
        <v>68</v>
      </c>
      <c r="C6451" s="1" t="str">
        <f>VLOOKUP(Tabela1[[#This Row],[Cliente]],'BASE DE CLIENTES'!A:E,2,0)</f>
        <v>Brasília</v>
      </c>
      <c r="D6451" s="1" t="str">
        <f>VLOOKUP(Tabela1[[#This Row],[Cliente]],'BASE DE CLIENTES'!A:C,3,0)</f>
        <v>DF</v>
      </c>
      <c r="E6451" s="1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3">
        <f>Tabela1[[#This Row],[MARGEM BRUTA]]/Tabela1[[#This Row],[Valor total]]</f>
        <v>0.46099290780141844</v>
      </c>
      <c r="K6451" s="1" t="str">
        <f>VLOOKUP(Tabela1[[#This Row],[Cliente]],'BASE DE CLIENTES'!A:D,4,0)</f>
        <v>EMPRESA COM MAQUINA</v>
      </c>
      <c r="L6451" s="1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1" t="str">
        <f>VLOOKUP(Tabela1[[#This Row],[Cliente]],'BASE DE CLIENTES'!A:E,2,0)</f>
        <v>Brasília</v>
      </c>
      <c r="D6452" s="1" t="str">
        <f>VLOOKUP(Tabela1[[#This Row],[Cliente]],'BASE DE CLIENTES'!A:C,3,0)</f>
        <v>DF</v>
      </c>
      <c r="E6452" s="1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3">
        <f>Tabela1[[#This Row],[MARGEM BRUTA]]/Tabela1[[#This Row],[Valor total]]</f>
        <v>0.38463576158940394</v>
      </c>
      <c r="K6452" s="1" t="str">
        <f>VLOOKUP(Tabela1[[#This Row],[Cliente]],'BASE DE CLIENTES'!A:D,4,0)</f>
        <v>EMPRESA SEM MAQUINA</v>
      </c>
      <c r="L6452" s="1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1" t="str">
        <f>VLOOKUP(Tabela1[[#This Row],[Cliente]],'BASE DE CLIENTES'!A:E,2,0)</f>
        <v>Águas Lindas de Goiás</v>
      </c>
      <c r="D6453" s="1" t="str">
        <f>VLOOKUP(Tabela1[[#This Row],[Cliente]],'BASE DE CLIENTES'!A:C,3,0)</f>
        <v>GO</v>
      </c>
      <c r="E6453" s="1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3">
        <f>Tabela1[[#This Row],[MARGEM BRUTA]]/Tabela1[[#This Row],[Valor total]]</f>
        <v>0.41085271317829458</v>
      </c>
      <c r="K6453" s="1" t="str">
        <f>VLOOKUP(Tabela1[[#This Row],[Cliente]],'BASE DE CLIENTES'!A:D,4,0)</f>
        <v>EMPRESA SEM MAQUINA</v>
      </c>
      <c r="L6453" s="1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1" t="str">
        <f>VLOOKUP(Tabela1[[#This Row],[Cliente]],'BASE DE CLIENTES'!A:E,2,0)</f>
        <v>Brasília</v>
      </c>
      <c r="D6454" s="1" t="str">
        <f>VLOOKUP(Tabela1[[#This Row],[Cliente]],'BASE DE CLIENTES'!A:C,3,0)</f>
        <v>DF</v>
      </c>
      <c r="E6454" s="1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3">
        <f>Tabela1[[#This Row],[MARGEM BRUTA]]/Tabela1[[#This Row],[Valor total]]</f>
        <v>0.47075812274368228</v>
      </c>
      <c r="K6454" s="1" t="str">
        <f>VLOOKUP(Tabela1[[#This Row],[Cliente]],'BASE DE CLIENTES'!A:D,4,0)</f>
        <v>EMPRESA SEM MAQUINA</v>
      </c>
      <c r="L6454" s="1" t="str">
        <f>VLOOKUP(Tabela1[[#This Row],[Cliente]],'BASE DE CLIENTES'!A:E,5,0)</f>
        <v>RECANTO DAS EMAS</v>
      </c>
    </row>
    <row r="6455" spans="2:12" x14ac:dyDescent="0.3">
      <c r="B6455" t="s">
        <v>30</v>
      </c>
      <c r="C6455" s="1" t="str">
        <f>VLOOKUP(Tabela1[[#This Row],[Cliente]],'BASE DE CLIENTES'!A:E,2,0)</f>
        <v>Águas Lindas de Goiás</v>
      </c>
      <c r="D6455" s="1" t="str">
        <f>VLOOKUP(Tabela1[[#This Row],[Cliente]],'BASE DE CLIENTES'!A:C,3,0)</f>
        <v>GO</v>
      </c>
      <c r="E6455" s="1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3">
        <f>Tabela1[[#This Row],[MARGEM BRUTA]]/Tabela1[[#This Row],[Valor total]]</f>
        <v>0.38211382113821141</v>
      </c>
      <c r="K6455" s="1" t="str">
        <f>VLOOKUP(Tabela1[[#This Row],[Cliente]],'BASE DE CLIENTES'!A:D,4,0)</f>
        <v>SERRALHEIRO</v>
      </c>
      <c r="L6455" s="1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1" t="str">
        <f>VLOOKUP(Tabela1[[#This Row],[Cliente]],'BASE DE CLIENTES'!A:E,2,0)</f>
        <v>Brasília</v>
      </c>
      <c r="D6456" s="1" t="str">
        <f>VLOOKUP(Tabela1[[#This Row],[Cliente]],'BASE DE CLIENTES'!A:C,3,0)</f>
        <v>DF</v>
      </c>
      <c r="E6456" s="1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3">
        <f>Tabela1[[#This Row],[MARGEM BRUTA]]/Tabela1[[#This Row],[Valor total]]</f>
        <v>0.41907058823529408</v>
      </c>
      <c r="K6456" s="1" t="str">
        <f>VLOOKUP(Tabela1[[#This Row],[Cliente]],'BASE DE CLIENTES'!A:D,4,0)</f>
        <v>EMPRESA COM MAQUINA</v>
      </c>
      <c r="L6456" s="1" t="str">
        <f>VLOOKUP(Tabela1[[#This Row],[Cliente]],'BASE DE CLIENTES'!A:E,5,0)</f>
        <v>RIACHO FUNDO II</v>
      </c>
    </row>
    <row r="6457" spans="2:12" x14ac:dyDescent="0.3">
      <c r="B6457" t="s">
        <v>66</v>
      </c>
      <c r="C6457" s="1" t="str">
        <f>VLOOKUP(Tabela1[[#This Row],[Cliente]],'BASE DE CLIENTES'!A:E,2,0)</f>
        <v>Águas Lindas de Goiás</v>
      </c>
      <c r="D6457" s="1" t="str">
        <f>VLOOKUP(Tabela1[[#This Row],[Cliente]],'BASE DE CLIENTES'!A:C,3,0)</f>
        <v>GO</v>
      </c>
      <c r="E6457" s="1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3">
        <f>Tabela1[[#This Row],[MARGEM BRUTA]]/Tabela1[[#This Row],[Valor total]]</f>
        <v>0.35799322033898301</v>
      </c>
      <c r="K6457" s="1" t="str">
        <f>VLOOKUP(Tabela1[[#This Row],[Cliente]],'BASE DE CLIENTES'!A:D,4,0)</f>
        <v>EMPRESA COM MAQUINA</v>
      </c>
      <c r="L6457" s="1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1" t="str">
        <f>VLOOKUP(Tabela1[[#This Row],[Cliente]],'BASE DE CLIENTES'!A:E,2,0)</f>
        <v>Brasília</v>
      </c>
      <c r="D6458" s="1" t="str">
        <f>VLOOKUP(Tabela1[[#This Row],[Cliente]],'BASE DE CLIENTES'!A:C,3,0)</f>
        <v>DF</v>
      </c>
      <c r="E6458" s="1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3">
        <f>Tabela1[[#This Row],[MARGEM BRUTA]]/Tabela1[[#This Row],[Valor total]]</f>
        <v>0.23076923076923078</v>
      </c>
      <c r="K6458" s="1" t="str">
        <f>VLOOKUP(Tabela1[[#This Row],[Cliente]],'BASE DE CLIENTES'!A:D,4,0)</f>
        <v>EMPRESA SEM MAQUINA</v>
      </c>
      <c r="L6458" s="1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1" t="str">
        <f>VLOOKUP(Tabela1[[#This Row],[Cliente]],'BASE DE CLIENTES'!A:E,2,0)</f>
        <v>Brasília</v>
      </c>
      <c r="D6459" s="1" t="str">
        <f>VLOOKUP(Tabela1[[#This Row],[Cliente]],'BASE DE CLIENTES'!A:C,3,0)</f>
        <v>DF</v>
      </c>
      <c r="E6459" s="1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3">
        <f>Tabela1[[#This Row],[MARGEM BRUTA]]/Tabela1[[#This Row],[Valor total]]</f>
        <v>0.44032921810699588</v>
      </c>
      <c r="K6459" s="1" t="str">
        <f>VLOOKUP(Tabela1[[#This Row],[Cliente]],'BASE DE CLIENTES'!A:D,4,0)</f>
        <v>SERRALHEIRO</v>
      </c>
      <c r="L6459" s="1" t="str">
        <f>VLOOKUP(Tabela1[[#This Row],[Cliente]],'BASE DE CLIENTES'!A:E,5,0)</f>
        <v>RIACHO FUNDO I</v>
      </c>
    </row>
    <row r="6460" spans="2:12" x14ac:dyDescent="0.3">
      <c r="B6460" t="s">
        <v>85</v>
      </c>
      <c r="C6460" s="1" t="str">
        <f>VLOOKUP(Tabela1[[#This Row],[Cliente]],'BASE DE CLIENTES'!A:E,2,0)</f>
        <v>Brasília</v>
      </c>
      <c r="D6460" s="1" t="str">
        <f>VLOOKUP(Tabela1[[#This Row],[Cliente]],'BASE DE CLIENTES'!A:C,3,0)</f>
        <v>DF</v>
      </c>
      <c r="E6460" s="1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3">
        <f>Tabela1[[#This Row],[MARGEM BRUTA]]/Tabela1[[#This Row],[Valor total]]</f>
        <v>0.23076923076923078</v>
      </c>
      <c r="K6460" s="1" t="str">
        <f>VLOOKUP(Tabela1[[#This Row],[Cliente]],'BASE DE CLIENTES'!A:D,4,0)</f>
        <v>SERRALHEIRO</v>
      </c>
      <c r="L6460" s="1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1" t="str">
        <f>VLOOKUP(Tabela1[[#This Row],[Cliente]],'BASE DE CLIENTES'!A:E,2,0)</f>
        <v>Brasília</v>
      </c>
      <c r="D6461" s="1" t="str">
        <f>VLOOKUP(Tabela1[[#This Row],[Cliente]],'BASE DE CLIENTES'!A:C,3,0)</f>
        <v>DF</v>
      </c>
      <c r="E6461" s="1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3">
        <f>Tabela1[[#This Row],[MARGEM BRUTA]]/Tabela1[[#This Row],[Valor total]]</f>
        <v>0.62479999999999991</v>
      </c>
      <c r="K6461" s="1" t="str">
        <f>VLOOKUP(Tabela1[[#This Row],[Cliente]],'BASE DE CLIENTES'!A:D,4,0)</f>
        <v>SERRALHEIRO</v>
      </c>
      <c r="L6461" s="1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1" t="str">
        <f>VLOOKUP(Tabela1[[#This Row],[Cliente]],'BASE DE CLIENTES'!A:E,2,0)</f>
        <v>Brasília</v>
      </c>
      <c r="D6462" s="1" t="str">
        <f>VLOOKUP(Tabela1[[#This Row],[Cliente]],'BASE DE CLIENTES'!A:C,3,0)</f>
        <v>DF</v>
      </c>
      <c r="E6462" s="1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3">
        <f>Tabela1[[#This Row],[MARGEM BRUTA]]/Tabela1[[#This Row],[Valor total]]</f>
        <v>0.3715057471264368</v>
      </c>
      <c r="K6462" s="1" t="str">
        <f>VLOOKUP(Tabela1[[#This Row],[Cliente]],'BASE DE CLIENTES'!A:D,4,0)</f>
        <v>EMPRESA COM MAQUINA</v>
      </c>
      <c r="L6462" s="1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1" t="str">
        <f>VLOOKUP(Tabela1[[#This Row],[Cliente]],'BASE DE CLIENTES'!A:E,2,0)</f>
        <v>Brasília</v>
      </c>
      <c r="D6463" s="1" t="str">
        <f>VLOOKUP(Tabela1[[#This Row],[Cliente]],'BASE DE CLIENTES'!A:C,3,0)</f>
        <v>DF</v>
      </c>
      <c r="E6463" s="1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3">
        <f>Tabela1[[#This Row],[MARGEM BRUTA]]/Tabela1[[#This Row],[Valor total]]</f>
        <v>0.41085271317829458</v>
      </c>
      <c r="K6463" s="1" t="str">
        <f>VLOOKUP(Tabela1[[#This Row],[Cliente]],'BASE DE CLIENTES'!A:D,4,0)</f>
        <v>CLIENTE NOVO S/ IDENT.</v>
      </c>
      <c r="L6463" s="1" t="str">
        <f>VLOOKUP(Tabela1[[#This Row],[Cliente]],'BASE DE CLIENTES'!A:E,5,0)</f>
        <v>SAMAMBAIA SUL</v>
      </c>
    </row>
    <row r="6464" spans="2:12" x14ac:dyDescent="0.3">
      <c r="B6464" t="s">
        <v>216</v>
      </c>
      <c r="C6464" s="1" t="str">
        <f>VLOOKUP(Tabela1[[#This Row],[Cliente]],'BASE DE CLIENTES'!A:E,2,0)</f>
        <v>Brasília</v>
      </c>
      <c r="D6464" s="1" t="str">
        <f>VLOOKUP(Tabela1[[#This Row],[Cliente]],'BASE DE CLIENTES'!A:C,3,0)</f>
        <v>DF</v>
      </c>
      <c r="E6464" s="1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3">
        <f>Tabela1[[#This Row],[MARGEM BRUTA]]/Tabela1[[#This Row],[Valor total]]</f>
        <v>0.34729285714285718</v>
      </c>
      <c r="K6464" s="1" t="str">
        <f>VLOOKUP(Tabela1[[#This Row],[Cliente]],'BASE DE CLIENTES'!A:D,4,0)</f>
        <v>EMPRESA COM MAQUINA</v>
      </c>
      <c r="L6464" s="1" t="str">
        <f>VLOOKUP(Tabela1[[#This Row],[Cliente]],'BASE DE CLIENTES'!A:E,5,0)</f>
        <v>RIACHO FUNDO II</v>
      </c>
    </row>
    <row r="6465" spans="2:12" x14ac:dyDescent="0.3">
      <c r="B6465" t="s">
        <v>23</v>
      </c>
      <c r="C6465" s="1" t="str">
        <f>VLOOKUP(Tabela1[[#This Row],[Cliente]],'BASE DE CLIENTES'!A:E,2,0)</f>
        <v>Brasília</v>
      </c>
      <c r="D6465" s="1" t="str">
        <f>VLOOKUP(Tabela1[[#This Row],[Cliente]],'BASE DE CLIENTES'!A:C,3,0)</f>
        <v>DF</v>
      </c>
      <c r="E6465" s="1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3">
        <f>Tabela1[[#This Row],[MARGEM BRUTA]]/Tabela1[[#This Row],[Valor total]]</f>
        <v>0.30909090909090908</v>
      </c>
      <c r="K6465" s="1" t="str">
        <f>VLOOKUP(Tabela1[[#This Row],[Cliente]],'BASE DE CLIENTES'!A:D,4,0)</f>
        <v>EMPRESA SEM MAQUINA</v>
      </c>
      <c r="L6465" s="1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1" t="str">
        <f>VLOOKUP(Tabela1[[#This Row],[Cliente]],'BASE DE CLIENTES'!A:E,2,0)</f>
        <v>Goiânia</v>
      </c>
      <c r="D6466" s="1" t="str">
        <f>VLOOKUP(Tabela1[[#This Row],[Cliente]],'BASE DE CLIENTES'!A:C,3,0)</f>
        <v>GO</v>
      </c>
      <c r="E6466" s="1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3">
        <f>Tabela1[[#This Row],[MARGEM BRUTA]]/Tabela1[[#This Row],[Valor total]]</f>
        <v>0.40869565217391307</v>
      </c>
      <c r="K6466" s="1" t="str">
        <f>VLOOKUP(Tabela1[[#This Row],[Cliente]],'BASE DE CLIENTES'!A:D,4,0)</f>
        <v>EMPRESA COM MAQUINA</v>
      </c>
      <c r="L6466" s="1" t="str">
        <f>VLOOKUP(Tabela1[[#This Row],[Cliente]],'BASE DE CLIENTES'!A:E,5,0)</f>
        <v>Goiânia</v>
      </c>
    </row>
    <row r="6467" spans="2:12" x14ac:dyDescent="0.3">
      <c r="B6467" t="s">
        <v>199</v>
      </c>
      <c r="C6467" s="1" t="str">
        <f>VLOOKUP(Tabela1[[#This Row],[Cliente]],'BASE DE CLIENTES'!A:E,2,0)</f>
        <v>Goiânia</v>
      </c>
      <c r="D6467" s="1" t="str">
        <f>VLOOKUP(Tabela1[[#This Row],[Cliente]],'BASE DE CLIENTES'!A:C,3,0)</f>
        <v>GO</v>
      </c>
      <c r="E6467" s="1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3">
        <f>Tabela1[[#This Row],[MARGEM BRUTA]]/Tabela1[[#This Row],[Valor total]]</f>
        <v>0.30918367346938774</v>
      </c>
      <c r="K6467" s="1" t="str">
        <f>VLOOKUP(Tabela1[[#This Row],[Cliente]],'BASE DE CLIENTES'!A:D,4,0)</f>
        <v>EMPRESA COM MAQUINA</v>
      </c>
      <c r="L6467" s="1" t="str">
        <f>VLOOKUP(Tabela1[[#This Row],[Cliente]],'BASE DE CLIENTES'!A:E,5,0)</f>
        <v>Goiânia</v>
      </c>
    </row>
    <row r="6468" spans="2:12" x14ac:dyDescent="0.3">
      <c r="B6468" t="s">
        <v>141</v>
      </c>
      <c r="C6468" s="1" t="str">
        <f>VLOOKUP(Tabela1[[#This Row],[Cliente]],'BASE DE CLIENTES'!A:E,2,0)</f>
        <v>Brasília</v>
      </c>
      <c r="D6468" s="1" t="str">
        <f>VLOOKUP(Tabela1[[#This Row],[Cliente]],'BASE DE CLIENTES'!A:C,3,0)</f>
        <v>DF</v>
      </c>
      <c r="E6468" s="1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3">
        <f>Tabela1[[#This Row],[MARGEM BRUTA]]/Tabela1[[#This Row],[Valor total]]</f>
        <v>0.91283116883116877</v>
      </c>
      <c r="K6468" s="1" t="str">
        <f>VLOOKUP(Tabela1[[#This Row],[Cliente]],'BASE DE CLIENTES'!A:D,4,0)</f>
        <v>EMPRESA COM MAQUINA</v>
      </c>
      <c r="L6468" s="1" t="str">
        <f>VLOOKUP(Tabela1[[#This Row],[Cliente]],'BASE DE CLIENTES'!A:E,5,0)</f>
        <v>TAGUATINGA</v>
      </c>
    </row>
    <row r="6469" spans="2:12" x14ac:dyDescent="0.3">
      <c r="B6469" t="s">
        <v>38</v>
      </c>
      <c r="C6469" s="1" t="str">
        <f>VLOOKUP(Tabela1[[#This Row],[Cliente]],'BASE DE CLIENTES'!A:E,2,0)</f>
        <v>Brasília</v>
      </c>
      <c r="D6469" s="1" t="str">
        <f>VLOOKUP(Tabela1[[#This Row],[Cliente]],'BASE DE CLIENTES'!A:C,3,0)</f>
        <v>DF</v>
      </c>
      <c r="E6469" s="1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3">
        <f>Tabela1[[#This Row],[MARGEM BRUTA]]/Tabela1[[#This Row],[Valor total]]</f>
        <v>0.37453580901856764</v>
      </c>
      <c r="K6469" s="1" t="str">
        <f>VLOOKUP(Tabela1[[#This Row],[Cliente]],'BASE DE CLIENTES'!A:D,4,0)</f>
        <v>EMPRESA SEM MAQUINA</v>
      </c>
      <c r="L6469" s="1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1" t="str">
        <f>VLOOKUP(Tabela1[[#This Row],[Cliente]],'BASE DE CLIENTES'!A:E,2,0)</f>
        <v>Brasília</v>
      </c>
      <c r="D6470" s="1" t="str">
        <f>VLOOKUP(Tabela1[[#This Row],[Cliente]],'BASE DE CLIENTES'!A:C,3,0)</f>
        <v>DF</v>
      </c>
      <c r="E6470" s="1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3">
        <f>Tabela1[[#This Row],[MARGEM BRUTA]]/Tabela1[[#This Row],[Valor total]]</f>
        <v>0.33584905660377357</v>
      </c>
      <c r="K6470" s="1" t="str">
        <f>VLOOKUP(Tabela1[[#This Row],[Cliente]],'BASE DE CLIENTES'!A:D,4,0)</f>
        <v>SERRALHEIRO</v>
      </c>
      <c r="L6470" s="1" t="str">
        <f>VLOOKUP(Tabela1[[#This Row],[Cliente]],'BASE DE CLIENTES'!A:E,5,0)</f>
        <v>SANTA MARIA</v>
      </c>
    </row>
    <row r="6471" spans="2:12" x14ac:dyDescent="0.3">
      <c r="B6471" t="s">
        <v>319</v>
      </c>
      <c r="C6471" s="1" t="str">
        <f>VLOOKUP(Tabela1[[#This Row],[Cliente]],'BASE DE CLIENTES'!A:E,2,0)</f>
        <v>Valparaíso de Goiás</v>
      </c>
      <c r="D6471" s="1" t="str">
        <f>VLOOKUP(Tabela1[[#This Row],[Cliente]],'BASE DE CLIENTES'!A:C,3,0)</f>
        <v>GO</v>
      </c>
      <c r="E6471" s="1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3">
        <f>Tabela1[[#This Row],[MARGEM BRUTA]]/Tabela1[[#This Row],[Valor total]]</f>
        <v>0.37309782608695652</v>
      </c>
      <c r="K6471" s="1" t="str">
        <f>VLOOKUP(Tabela1[[#This Row],[Cliente]],'BASE DE CLIENTES'!A:D,4,0)</f>
        <v>EMPRESA COM MAQUINA</v>
      </c>
      <c r="L6471" s="1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1" t="str">
        <f>VLOOKUP(Tabela1[[#This Row],[Cliente]],'BASE DE CLIENTES'!A:E,2,0)</f>
        <v>Brasília</v>
      </c>
      <c r="D6472" s="1" t="str">
        <f>VLOOKUP(Tabela1[[#This Row],[Cliente]],'BASE DE CLIENTES'!A:C,3,0)</f>
        <v>DF</v>
      </c>
      <c r="E6472" s="1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3">
        <f>Tabela1[[#This Row],[MARGEM BRUTA]]/Tabela1[[#This Row],[Valor total]]</f>
        <v>0.47688564476885642</v>
      </c>
      <c r="K6472" s="1" t="str">
        <f>VLOOKUP(Tabela1[[#This Row],[Cliente]],'BASE DE CLIENTES'!A:D,4,0)</f>
        <v>SERRALHEIRO</v>
      </c>
      <c r="L6472" s="1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1" t="str">
        <f>VLOOKUP(Tabela1[[#This Row],[Cliente]],'BASE DE CLIENTES'!A:E,2,0)</f>
        <v>Brasília</v>
      </c>
      <c r="D6473" s="1" t="str">
        <f>VLOOKUP(Tabela1[[#This Row],[Cliente]],'BASE DE CLIENTES'!A:C,3,0)</f>
        <v>DF</v>
      </c>
      <c r="E6473" s="1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3">
        <f>Tabela1[[#This Row],[MARGEM BRUTA]]/Tabela1[[#This Row],[Valor total]]</f>
        <v>0.34015748031496063</v>
      </c>
      <c r="K6473" s="1" t="str">
        <f>VLOOKUP(Tabela1[[#This Row],[Cliente]],'BASE DE CLIENTES'!A:D,4,0)</f>
        <v>EMPRESA COM MAQUINA</v>
      </c>
      <c r="L6473" s="1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1" t="str">
        <f>VLOOKUP(Tabela1[[#This Row],[Cliente]],'BASE DE CLIENTES'!A:E,2,0)</f>
        <v>Castanhal</v>
      </c>
      <c r="D6474" s="1" t="str">
        <f>VLOOKUP(Tabela1[[#This Row],[Cliente]],'BASE DE CLIENTES'!A:C,3,0)</f>
        <v>PA</v>
      </c>
      <c r="E6474" s="1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3">
        <f>Tabela1[[#This Row],[MARGEM BRUTA]]/Tabela1[[#This Row],[Valor total]]</f>
        <v>0.36388140161725069</v>
      </c>
      <c r="K6474" s="1" t="str">
        <f>VLOOKUP(Tabela1[[#This Row],[Cliente]],'BASE DE CLIENTES'!A:D,4,0)</f>
        <v>EMPRESA COM MAQUINA</v>
      </c>
      <c r="L6474" s="1" t="str">
        <f>VLOOKUP(Tabela1[[#This Row],[Cliente]],'BASE DE CLIENTES'!A:E,5,0)</f>
        <v>Castanhal</v>
      </c>
    </row>
    <row r="6475" spans="2:12" x14ac:dyDescent="0.3">
      <c r="B6475" t="s">
        <v>775</v>
      </c>
      <c r="C6475" s="1" t="str">
        <f>VLOOKUP(Tabela1[[#This Row],[Cliente]],'BASE DE CLIENTES'!A:E,2,0)</f>
        <v>Brasília</v>
      </c>
      <c r="D6475" s="1" t="str">
        <f>VLOOKUP(Tabela1[[#This Row],[Cliente]],'BASE DE CLIENTES'!A:C,3,0)</f>
        <v>DF</v>
      </c>
      <c r="E6475" s="1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3">
        <f>Tabela1[[#This Row],[MARGEM BRUTA]]/Tabela1[[#This Row],[Valor total]]</f>
        <v>0.36030534351145038</v>
      </c>
      <c r="K6475" s="1" t="str">
        <f>VLOOKUP(Tabela1[[#This Row],[Cliente]],'BASE DE CLIENTES'!A:D,4,0)</f>
        <v>CLIENTE NOVO S/ IDENT.</v>
      </c>
      <c r="L6475" s="1" t="str">
        <f>VLOOKUP(Tabela1[[#This Row],[Cliente]],'BASE DE CLIENTES'!A:E,5,0)</f>
        <v>Brasília</v>
      </c>
    </row>
    <row r="6476" spans="2:12" x14ac:dyDescent="0.3">
      <c r="B6476" t="s">
        <v>17</v>
      </c>
      <c r="C6476" s="1" t="str">
        <f>VLOOKUP(Tabela1[[#This Row],[Cliente]],'BASE DE CLIENTES'!A:E,2,0)</f>
        <v>Águas Lindas de Goiás</v>
      </c>
      <c r="D6476" s="1" t="str">
        <f>VLOOKUP(Tabela1[[#This Row],[Cliente]],'BASE DE CLIENTES'!A:C,3,0)</f>
        <v>GO</v>
      </c>
      <c r="E6476" s="1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3">
        <f>Tabela1[[#This Row],[MARGEM BRUTA]]/Tabela1[[#This Row],[Valor total]]</f>
        <v>0.4676129032258064</v>
      </c>
      <c r="K6476" s="1" t="str">
        <f>VLOOKUP(Tabela1[[#This Row],[Cliente]],'BASE DE CLIENTES'!A:D,4,0)</f>
        <v>SERRALHEIRO</v>
      </c>
      <c r="L6476" s="1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1" t="str">
        <f>VLOOKUP(Tabela1[[#This Row],[Cliente]],'BASE DE CLIENTES'!A:E,2,0)</f>
        <v>Brasília</v>
      </c>
      <c r="D6477" s="1" t="str">
        <f>VLOOKUP(Tabela1[[#This Row],[Cliente]],'BASE DE CLIENTES'!A:C,3,0)</f>
        <v>DF</v>
      </c>
      <c r="E6477" s="1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3">
        <f>Tabela1[[#This Row],[MARGEM BRUTA]]/Tabela1[[#This Row],[Valor total]]</f>
        <v>0.36333333333333334</v>
      </c>
      <c r="K6477" s="1" t="str">
        <f>VLOOKUP(Tabela1[[#This Row],[Cliente]],'BASE DE CLIENTES'!A:D,4,0)</f>
        <v>CLIENTE NOVO S/ IDENT.</v>
      </c>
      <c r="L6477" s="1" t="str">
        <f>VLOOKUP(Tabela1[[#This Row],[Cliente]],'BASE DE CLIENTES'!A:E,5,0)</f>
        <v>TAGUATINGA</v>
      </c>
    </row>
    <row r="6478" spans="2:12" x14ac:dyDescent="0.3">
      <c r="B6478" t="s">
        <v>1223</v>
      </c>
      <c r="C6478" s="1" t="str">
        <f>VLOOKUP(Tabela1[[#This Row],[Cliente]],'BASE DE CLIENTES'!A:E,2,0)</f>
        <v>MERCADO LIVRE</v>
      </c>
      <c r="D6478" s="1" t="str">
        <f>VLOOKUP(Tabela1[[#This Row],[Cliente]],'BASE DE CLIENTES'!A:C,3,0)</f>
        <v>MERCADO LIVRE</v>
      </c>
      <c r="E6478" s="1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3">
        <f>Tabela1[[#This Row],[MARGEM BRUTA]]/Tabela1[[#This Row],[Valor total]]</f>
        <v>0.7081064260152482</v>
      </c>
      <c r="K6478" s="1" t="str">
        <f>VLOOKUP(Tabela1[[#This Row],[Cliente]],'BASE DE CLIENTES'!A:D,4,0)</f>
        <v>OUTROS RAMOS</v>
      </c>
      <c r="L6478" s="1" t="str">
        <f>VLOOKUP(Tabela1[[#This Row],[Cliente]],'BASE DE CLIENTES'!A:E,5,0)</f>
        <v>MERCADO LIVRE</v>
      </c>
    </row>
    <row r="6479" spans="2:12" x14ac:dyDescent="0.3">
      <c r="B6479" t="s">
        <v>128</v>
      </c>
      <c r="C6479" s="1" t="str">
        <f>VLOOKUP(Tabela1[[#This Row],[Cliente]],'BASE DE CLIENTES'!A:E,2,0)</f>
        <v>Brasília</v>
      </c>
      <c r="D6479" s="1" t="str">
        <f>VLOOKUP(Tabela1[[#This Row],[Cliente]],'BASE DE CLIENTES'!A:C,3,0)</f>
        <v>DF</v>
      </c>
      <c r="E6479" s="1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3">
        <f>Tabela1[[#This Row],[MARGEM BRUTA]]/Tabela1[[#This Row],[Valor total]]</f>
        <v>0.2857142857142857</v>
      </c>
      <c r="K6479" s="1" t="str">
        <f>VLOOKUP(Tabela1[[#This Row],[Cliente]],'BASE DE CLIENTES'!A:D,4,0)</f>
        <v>SERRALHEIRO</v>
      </c>
      <c r="L6479" s="1" t="str">
        <f>VLOOKUP(Tabela1[[#This Row],[Cliente]],'BASE DE CLIENTES'!A:E,5,0)</f>
        <v>TAGUATINGA NORTE</v>
      </c>
    </row>
    <row r="6480" spans="2:12" x14ac:dyDescent="0.3">
      <c r="B6480" t="s">
        <v>128</v>
      </c>
      <c r="C6480" s="1" t="str">
        <f>VLOOKUP(Tabela1[[#This Row],[Cliente]],'BASE DE CLIENTES'!A:E,2,0)</f>
        <v>Brasília</v>
      </c>
      <c r="D6480" s="1" t="str">
        <f>VLOOKUP(Tabela1[[#This Row],[Cliente]],'BASE DE CLIENTES'!A:C,3,0)</f>
        <v>DF</v>
      </c>
      <c r="E6480" s="1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3">
        <f>Tabela1[[#This Row],[MARGEM BRUTA]]/Tabela1[[#This Row],[Valor total]]</f>
        <v>0.2857142857142857</v>
      </c>
      <c r="K6480" s="1" t="str">
        <f>VLOOKUP(Tabela1[[#This Row],[Cliente]],'BASE DE CLIENTES'!A:D,4,0)</f>
        <v>SERRALHEIRO</v>
      </c>
      <c r="L6480" s="1" t="str">
        <f>VLOOKUP(Tabela1[[#This Row],[Cliente]],'BASE DE CLIENTES'!A:E,5,0)</f>
        <v>TAGUATINGA NORTE</v>
      </c>
    </row>
    <row r="6481" spans="2:12" x14ac:dyDescent="0.3">
      <c r="B6481" t="s">
        <v>68</v>
      </c>
      <c r="C6481" s="1" t="str">
        <f>VLOOKUP(Tabela1[[#This Row],[Cliente]],'BASE DE CLIENTES'!A:E,2,0)</f>
        <v>Brasília</v>
      </c>
      <c r="D6481" s="1" t="str">
        <f>VLOOKUP(Tabela1[[#This Row],[Cliente]],'BASE DE CLIENTES'!A:C,3,0)</f>
        <v>DF</v>
      </c>
      <c r="E6481" s="1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3">
        <f>Tabela1[[#This Row],[MARGEM BRUTA]]/Tabela1[[#This Row],[Valor total]]</f>
        <v>0.3504273504273504</v>
      </c>
      <c r="K6481" s="1" t="str">
        <f>VLOOKUP(Tabela1[[#This Row],[Cliente]],'BASE DE CLIENTES'!A:D,4,0)</f>
        <v>EMPRESA COM MAQUINA</v>
      </c>
      <c r="L6481" s="1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1" t="str">
        <f>VLOOKUP(Tabela1[[#This Row],[Cliente]],'BASE DE CLIENTES'!A:E,2,0)</f>
        <v>Brasília</v>
      </c>
      <c r="D6482" s="1" t="str">
        <f>VLOOKUP(Tabela1[[#This Row],[Cliente]],'BASE DE CLIENTES'!A:C,3,0)</f>
        <v>DF</v>
      </c>
      <c r="E6482" s="1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3">
        <f>Tabela1[[#This Row],[MARGEM BRUTA]]/Tabela1[[#This Row],[Valor total]]</f>
        <v>0.38825742574257427</v>
      </c>
      <c r="K6482" s="1" t="str">
        <f>VLOOKUP(Tabela1[[#This Row],[Cliente]],'BASE DE CLIENTES'!A:D,4,0)</f>
        <v>EMPRESA SEM MAQUINA</v>
      </c>
      <c r="L6482" s="1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1" t="str">
        <f>VLOOKUP(Tabela1[[#This Row],[Cliente]],'BASE DE CLIENTES'!A:E,2,0)</f>
        <v>Brasília</v>
      </c>
      <c r="D6483" s="1" t="str">
        <f>VLOOKUP(Tabela1[[#This Row],[Cliente]],'BASE DE CLIENTES'!A:C,3,0)</f>
        <v>DF</v>
      </c>
      <c r="E6483" s="1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3">
        <f>Tabela1[[#This Row],[MARGEM BRUTA]]/Tabela1[[#This Row],[Valor total]]</f>
        <v>0.23898305084745769</v>
      </c>
      <c r="K6483" s="1" t="str">
        <f>VLOOKUP(Tabela1[[#This Row],[Cliente]],'BASE DE CLIENTES'!A:D,4,0)</f>
        <v>EMPRESA SEM MAQUINA</v>
      </c>
      <c r="L6483" s="1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1" t="str">
        <f>VLOOKUP(Tabela1[[#This Row],[Cliente]],'BASE DE CLIENTES'!A:E,2,0)</f>
        <v>Brasília</v>
      </c>
      <c r="D6484" s="1" t="str">
        <f>VLOOKUP(Tabela1[[#This Row],[Cliente]],'BASE DE CLIENTES'!A:C,3,0)</f>
        <v>DF</v>
      </c>
      <c r="E6484" s="1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3">
        <f>Tabela1[[#This Row],[MARGEM BRUTA]]/Tabela1[[#This Row],[Valor total]]</f>
        <v>0.2857142857142857</v>
      </c>
      <c r="K6484" s="1" t="str">
        <f>VLOOKUP(Tabela1[[#This Row],[Cliente]],'BASE DE CLIENTES'!A:D,4,0)</f>
        <v>SERRALHEIRO</v>
      </c>
      <c r="L6484" s="1" t="str">
        <f>VLOOKUP(Tabela1[[#This Row],[Cliente]],'BASE DE CLIENTES'!A:E,5,0)</f>
        <v>TAGUATINGA NORTE</v>
      </c>
    </row>
    <row r="6485" spans="2:12" x14ac:dyDescent="0.3">
      <c r="B6485" t="s">
        <v>96</v>
      </c>
      <c r="C6485" s="1" t="str">
        <f>VLOOKUP(Tabela1[[#This Row],[Cliente]],'BASE DE CLIENTES'!A:E,2,0)</f>
        <v>Brasília</v>
      </c>
      <c r="D6485" s="1" t="str">
        <f>VLOOKUP(Tabela1[[#This Row],[Cliente]],'BASE DE CLIENTES'!A:C,3,0)</f>
        <v>DF</v>
      </c>
      <c r="E6485" s="1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3">
        <f>Tabela1[[#This Row],[MARGEM BRUTA]]/Tabela1[[#This Row],[Valor total]]</f>
        <v>0.41192052980132449</v>
      </c>
      <c r="K6485" s="1" t="str">
        <f>VLOOKUP(Tabela1[[#This Row],[Cliente]],'BASE DE CLIENTES'!A:D,4,0)</f>
        <v>EMPRESA SEM MAQUINA</v>
      </c>
      <c r="L6485" s="1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1" t="str">
        <f>VLOOKUP(Tabela1[[#This Row],[Cliente]],'BASE DE CLIENTES'!A:E,2,0)</f>
        <v>Brasília</v>
      </c>
      <c r="D6486" s="1" t="str">
        <f>VLOOKUP(Tabela1[[#This Row],[Cliente]],'BASE DE CLIENTES'!A:C,3,0)</f>
        <v>DF</v>
      </c>
      <c r="E6486" s="1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3">
        <f>Tabela1[[#This Row],[MARGEM BRUTA]]/Tabela1[[#This Row],[Valor total]]</f>
        <v>0.24000000000000005</v>
      </c>
      <c r="K6486" s="1" t="str">
        <f>VLOOKUP(Tabela1[[#This Row],[Cliente]],'BASE DE CLIENTES'!A:D,4,0)</f>
        <v>CLIENTE NOVO S/ IDENT.</v>
      </c>
      <c r="L6486" s="1" t="str">
        <f>VLOOKUP(Tabela1[[#This Row],[Cliente]],'BASE DE CLIENTES'!A:E,5,0)</f>
        <v>SAMAMBAIA SUL</v>
      </c>
    </row>
    <row r="6487" spans="2:12" x14ac:dyDescent="0.3">
      <c r="B6487" t="s">
        <v>23</v>
      </c>
      <c r="C6487" s="1" t="str">
        <f>VLOOKUP(Tabela1[[#This Row],[Cliente]],'BASE DE CLIENTES'!A:E,2,0)</f>
        <v>Brasília</v>
      </c>
      <c r="D6487" s="1" t="str">
        <f>VLOOKUP(Tabela1[[#This Row],[Cliente]],'BASE DE CLIENTES'!A:C,3,0)</f>
        <v>DF</v>
      </c>
      <c r="E6487" s="1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3">
        <f>Tabela1[[#This Row],[MARGEM BRUTA]]/Tabela1[[#This Row],[Valor total]]</f>
        <v>0.30909090909090908</v>
      </c>
      <c r="K6487" s="1" t="str">
        <f>VLOOKUP(Tabela1[[#This Row],[Cliente]],'BASE DE CLIENTES'!A:D,4,0)</f>
        <v>EMPRESA SEM MAQUINA</v>
      </c>
      <c r="L6487" s="1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1" t="str">
        <f>VLOOKUP(Tabela1[[#This Row],[Cliente]],'BASE DE CLIENTES'!A:E,2,0)</f>
        <v>Brasília</v>
      </c>
      <c r="D6488" s="1" t="str">
        <f>VLOOKUP(Tabela1[[#This Row],[Cliente]],'BASE DE CLIENTES'!A:C,3,0)</f>
        <v>DF</v>
      </c>
      <c r="E6488" s="1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3">
        <f>Tabela1[[#This Row],[MARGEM BRUTA]]/Tabela1[[#This Row],[Valor total]]</f>
        <v>0.18733333333333338</v>
      </c>
      <c r="K6488" s="1" t="str">
        <f>VLOOKUP(Tabela1[[#This Row],[Cliente]],'BASE DE CLIENTES'!A:D,4,0)</f>
        <v>SERRALHEIRO</v>
      </c>
      <c r="L6488" s="1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1" t="str">
        <f>VLOOKUP(Tabela1[[#This Row],[Cliente]],'BASE DE CLIENTES'!A:E,2,0)</f>
        <v>Brasília</v>
      </c>
      <c r="D6489" s="1" t="str">
        <f>VLOOKUP(Tabela1[[#This Row],[Cliente]],'BASE DE CLIENTES'!A:C,3,0)</f>
        <v>DF</v>
      </c>
      <c r="E6489" s="1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3">
        <f>Tabela1[[#This Row],[MARGEM BRUTA]]/Tabela1[[#This Row],[Valor total]]</f>
        <v>0.41085271317829458</v>
      </c>
      <c r="K6489" s="1" t="str">
        <f>VLOOKUP(Tabela1[[#This Row],[Cliente]],'BASE DE CLIENTES'!A:D,4,0)</f>
        <v>CLIENTE NOVO S/ IDENT.</v>
      </c>
      <c r="L6489" s="1" t="str">
        <f>VLOOKUP(Tabela1[[#This Row],[Cliente]],'BASE DE CLIENTES'!A:E,5,0)</f>
        <v>SAMAMBAIA SUL</v>
      </c>
    </row>
    <row r="6490" spans="2:12" x14ac:dyDescent="0.3">
      <c r="B6490" t="s">
        <v>262</v>
      </c>
      <c r="C6490" s="1" t="str">
        <f>VLOOKUP(Tabela1[[#This Row],[Cliente]],'BASE DE CLIENTES'!A:E,2,0)</f>
        <v>Brasília</v>
      </c>
      <c r="D6490" s="1" t="str">
        <f>VLOOKUP(Tabela1[[#This Row],[Cliente]],'BASE DE CLIENTES'!A:C,3,0)</f>
        <v>DF</v>
      </c>
      <c r="E6490" s="1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3">
        <f>Tabela1[[#This Row],[MARGEM BRUTA]]/Tabela1[[#This Row],[Valor total]]</f>
        <v>0.39200000000000002</v>
      </c>
      <c r="K6490" s="1" t="str">
        <f>VLOOKUP(Tabela1[[#This Row],[Cliente]],'BASE DE CLIENTES'!A:D,4,0)</f>
        <v>SERRALHEIRO</v>
      </c>
      <c r="L6490" s="1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1" t="str">
        <f>VLOOKUP(Tabela1[[#This Row],[Cliente]],'BASE DE CLIENTES'!A:E,2,0)</f>
        <v>Brasília</v>
      </c>
      <c r="D6491" s="1" t="str">
        <f>VLOOKUP(Tabela1[[#This Row],[Cliente]],'BASE DE CLIENTES'!A:C,3,0)</f>
        <v>DF</v>
      </c>
      <c r="E6491" s="1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3">
        <f>Tabela1[[#This Row],[MARGEM BRUTA]]/Tabela1[[#This Row],[Valor total]]</f>
        <v>0.22689999999999994</v>
      </c>
      <c r="K6491" s="1" t="str">
        <f>VLOOKUP(Tabela1[[#This Row],[Cliente]],'BASE DE CLIENTES'!A:D,4,0)</f>
        <v>EMPRESA SEM MAQUINA</v>
      </c>
      <c r="L6491" s="1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1" t="str">
        <f>VLOOKUP(Tabela1[[#This Row],[Cliente]],'BASE DE CLIENTES'!A:E,2,0)</f>
        <v>Brasília</v>
      </c>
      <c r="D6492" s="1" t="str">
        <f>VLOOKUP(Tabela1[[#This Row],[Cliente]],'BASE DE CLIENTES'!A:C,3,0)</f>
        <v>DF</v>
      </c>
      <c r="E6492" s="1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3">
        <f>Tabela1[[#This Row],[MARGEM BRUTA]]/Tabela1[[#This Row],[Valor total]]</f>
        <v>0.36312104034678228</v>
      </c>
      <c r="K6492" s="1" t="str">
        <f>VLOOKUP(Tabela1[[#This Row],[Cliente]],'BASE DE CLIENTES'!A:D,4,0)</f>
        <v>CLIENTE NOVO S/ IDENT.</v>
      </c>
      <c r="L6492" s="1" t="str">
        <f>VLOOKUP(Tabela1[[#This Row],[Cliente]],'BASE DE CLIENTES'!A:E,5,0)</f>
        <v>ASA SUL</v>
      </c>
    </row>
    <row r="6493" spans="2:12" x14ac:dyDescent="0.3">
      <c r="B6493" t="s">
        <v>1223</v>
      </c>
      <c r="C6493" s="1" t="str">
        <f>VLOOKUP(Tabela1[[#This Row],[Cliente]],'BASE DE CLIENTES'!A:E,2,0)</f>
        <v>MERCADO LIVRE</v>
      </c>
      <c r="D6493" s="1" t="str">
        <f>VLOOKUP(Tabela1[[#This Row],[Cliente]],'BASE DE CLIENTES'!A:C,3,0)</f>
        <v>MERCADO LIVRE</v>
      </c>
      <c r="E6493" s="1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3">
        <f>Tabela1[[#This Row],[MARGEM BRUTA]]/Tabela1[[#This Row],[Valor total]]</f>
        <v>0.43302622253720763</v>
      </c>
      <c r="K6493" s="1" t="str">
        <f>VLOOKUP(Tabela1[[#This Row],[Cliente]],'BASE DE CLIENTES'!A:D,4,0)</f>
        <v>OUTROS RAMOS</v>
      </c>
      <c r="L6493" s="1" t="str">
        <f>VLOOKUP(Tabela1[[#This Row],[Cliente]],'BASE DE CLIENTES'!A:E,5,0)</f>
        <v>MERCADO LIVRE</v>
      </c>
    </row>
    <row r="6494" spans="2:12" x14ac:dyDescent="0.3">
      <c r="B6494" t="s">
        <v>1223</v>
      </c>
      <c r="C6494" s="1" t="str">
        <f>VLOOKUP(Tabela1[[#This Row],[Cliente]],'BASE DE CLIENTES'!A:E,2,0)</f>
        <v>MERCADO LIVRE</v>
      </c>
      <c r="D6494" s="1" t="str">
        <f>VLOOKUP(Tabela1[[#This Row],[Cliente]],'BASE DE CLIENTES'!A:C,3,0)</f>
        <v>MERCADO LIVRE</v>
      </c>
      <c r="E6494" s="1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3">
        <f>Tabela1[[#This Row],[MARGEM BRUTA]]/Tabela1[[#This Row],[Valor total]]</f>
        <v>0.39015082682173358</v>
      </c>
      <c r="K6494" s="1" t="str">
        <f>VLOOKUP(Tabela1[[#This Row],[Cliente]],'BASE DE CLIENTES'!A:D,4,0)</f>
        <v>OUTROS RAMOS</v>
      </c>
      <c r="L6494" s="1" t="str">
        <f>VLOOKUP(Tabela1[[#This Row],[Cliente]],'BASE DE CLIENTES'!A:E,5,0)</f>
        <v>MERCADO LIVRE</v>
      </c>
    </row>
    <row r="6495" spans="2:12" x14ac:dyDescent="0.3">
      <c r="B6495" t="s">
        <v>1223</v>
      </c>
      <c r="C6495" s="1" t="str">
        <f>VLOOKUP(Tabela1[[#This Row],[Cliente]],'BASE DE CLIENTES'!A:E,2,0)</f>
        <v>MERCADO LIVRE</v>
      </c>
      <c r="D6495" s="1" t="str">
        <f>VLOOKUP(Tabela1[[#This Row],[Cliente]],'BASE DE CLIENTES'!A:C,3,0)</f>
        <v>MERCADO LIVRE</v>
      </c>
      <c r="E6495" s="1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3">
        <f>Tabela1[[#This Row],[MARGEM BRUTA]]/Tabela1[[#This Row],[Valor total]]</f>
        <v>0.7081064260152482</v>
      </c>
      <c r="K6495" s="1" t="str">
        <f>VLOOKUP(Tabela1[[#This Row],[Cliente]],'BASE DE CLIENTES'!A:D,4,0)</f>
        <v>OUTROS RAMOS</v>
      </c>
      <c r="L6495" s="1" t="str">
        <f>VLOOKUP(Tabela1[[#This Row],[Cliente]],'BASE DE CLIENTES'!A:E,5,0)</f>
        <v>MERCADO LIVRE</v>
      </c>
    </row>
    <row r="6496" spans="2:12" x14ac:dyDescent="0.3">
      <c r="B6496" t="s">
        <v>1223</v>
      </c>
      <c r="C6496" s="1" t="str">
        <f>VLOOKUP(Tabela1[[#This Row],[Cliente]],'BASE DE CLIENTES'!A:E,2,0)</f>
        <v>MERCADO LIVRE</v>
      </c>
      <c r="D6496" s="1" t="str">
        <f>VLOOKUP(Tabela1[[#This Row],[Cliente]],'BASE DE CLIENTES'!A:C,3,0)</f>
        <v>MERCADO LIVRE</v>
      </c>
      <c r="E6496" s="1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3">
        <f>Tabela1[[#This Row],[MARGEM BRUTA]]/Tabela1[[#This Row],[Valor total]]</f>
        <v>0.39345743719501169</v>
      </c>
      <c r="K6496" s="1" t="str">
        <f>VLOOKUP(Tabela1[[#This Row],[Cliente]],'BASE DE CLIENTES'!A:D,4,0)</f>
        <v>OUTROS RAMOS</v>
      </c>
      <c r="L6496" s="1" t="str">
        <f>VLOOKUP(Tabela1[[#This Row],[Cliente]],'BASE DE CLIENTES'!A:E,5,0)</f>
        <v>MERCADO LIVRE</v>
      </c>
    </row>
    <row r="6497" spans="2:12" x14ac:dyDescent="0.3">
      <c r="B6497" t="s">
        <v>1223</v>
      </c>
      <c r="C6497" s="1" t="str">
        <f>VLOOKUP(Tabela1[[#This Row],[Cliente]],'BASE DE CLIENTES'!A:E,2,0)</f>
        <v>MERCADO LIVRE</v>
      </c>
      <c r="D6497" s="1" t="str">
        <f>VLOOKUP(Tabela1[[#This Row],[Cliente]],'BASE DE CLIENTES'!A:C,3,0)</f>
        <v>MERCADO LIVRE</v>
      </c>
      <c r="E6497" s="1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3">
        <f>Tabela1[[#This Row],[MARGEM BRUTA]]/Tabela1[[#This Row],[Valor total]]</f>
        <v>0.34092694422623721</v>
      </c>
      <c r="K6497" s="1" t="str">
        <f>VLOOKUP(Tabela1[[#This Row],[Cliente]],'BASE DE CLIENTES'!A:D,4,0)</f>
        <v>OUTROS RAMOS</v>
      </c>
      <c r="L6497" s="1" t="str">
        <f>VLOOKUP(Tabela1[[#This Row],[Cliente]],'BASE DE CLIENTES'!A:E,5,0)</f>
        <v>MERCADO LIVRE</v>
      </c>
    </row>
    <row r="6498" spans="2:12" x14ac:dyDescent="0.3">
      <c r="B6498" t="s">
        <v>1223</v>
      </c>
      <c r="C6498" s="1" t="str">
        <f>VLOOKUP(Tabela1[[#This Row],[Cliente]],'BASE DE CLIENTES'!A:E,2,0)</f>
        <v>MERCADO LIVRE</v>
      </c>
      <c r="D6498" s="1" t="str">
        <f>VLOOKUP(Tabela1[[#This Row],[Cliente]],'BASE DE CLIENTES'!A:C,3,0)</f>
        <v>MERCADO LIVRE</v>
      </c>
      <c r="E6498" s="1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3">
        <f>Tabela1[[#This Row],[MARGEM BRUTA]]/Tabela1[[#This Row],[Valor total]]</f>
        <v>0.399534800500984</v>
      </c>
      <c r="K6498" s="1" t="str">
        <f>VLOOKUP(Tabela1[[#This Row],[Cliente]],'BASE DE CLIENTES'!A:D,4,0)</f>
        <v>OUTROS RAMOS</v>
      </c>
      <c r="L6498" s="1" t="str">
        <f>VLOOKUP(Tabela1[[#This Row],[Cliente]],'BASE DE CLIENTES'!A:E,5,0)</f>
        <v>MERCADO LIVRE</v>
      </c>
    </row>
    <row r="6499" spans="2:12" x14ac:dyDescent="0.3">
      <c r="B6499" t="s">
        <v>1223</v>
      </c>
      <c r="C6499" s="1" t="str">
        <f>VLOOKUP(Tabela1[[#This Row],[Cliente]],'BASE DE CLIENTES'!A:E,2,0)</f>
        <v>MERCADO LIVRE</v>
      </c>
      <c r="D6499" s="1" t="str">
        <f>VLOOKUP(Tabela1[[#This Row],[Cliente]],'BASE DE CLIENTES'!A:C,3,0)</f>
        <v>MERCADO LIVRE</v>
      </c>
      <c r="E6499" s="1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3">
        <f>Tabela1[[#This Row],[MARGEM BRUTA]]/Tabela1[[#This Row],[Valor total]]</f>
        <v>0.39114658925979684</v>
      </c>
      <c r="K6499" s="1" t="str">
        <f>VLOOKUP(Tabela1[[#This Row],[Cliente]],'BASE DE CLIENTES'!A:D,4,0)</f>
        <v>OUTROS RAMOS</v>
      </c>
      <c r="L6499" s="1" t="str">
        <f>VLOOKUP(Tabela1[[#This Row],[Cliente]],'BASE DE CLIENTES'!A:E,5,0)</f>
        <v>MERCADO LIVRE</v>
      </c>
    </row>
    <row r="6500" spans="2:12" x14ac:dyDescent="0.3">
      <c r="B6500" t="s">
        <v>78</v>
      </c>
      <c r="C6500" s="1" t="str">
        <f>VLOOKUP(Tabela1[[#This Row],[Cliente]],'BASE DE CLIENTES'!A:E,2,0)</f>
        <v>Brasília</v>
      </c>
      <c r="D6500" s="1" t="str">
        <f>VLOOKUP(Tabela1[[#This Row],[Cliente]],'BASE DE CLIENTES'!A:C,3,0)</f>
        <v>DF</v>
      </c>
      <c r="E6500" s="1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3">
        <f>Tabela1[[#This Row],[MARGEM BRUTA]]/Tabela1[[#This Row],[Valor total]]</f>
        <v>0.47023529411764703</v>
      </c>
      <c r="K6500" s="1" t="str">
        <f>VLOOKUP(Tabela1[[#This Row],[Cliente]],'BASE DE CLIENTES'!A:D,4,0)</f>
        <v>SERRALHEIRO</v>
      </c>
      <c r="L6500" s="1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1" t="str">
        <f>VLOOKUP(Tabela1[[#This Row],[Cliente]],'BASE DE CLIENTES'!A:E,2,0)</f>
        <v>Brasília</v>
      </c>
      <c r="D6501" s="1" t="str">
        <f>VLOOKUP(Tabela1[[#This Row],[Cliente]],'BASE DE CLIENTES'!A:C,3,0)</f>
        <v>DF</v>
      </c>
      <c r="E6501" s="1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3">
        <f>Tabela1[[#This Row],[MARGEM BRUTA]]/Tabela1[[#This Row],[Valor total]]</f>
        <v>0.78285714285714281</v>
      </c>
      <c r="K6501" s="1" t="str">
        <f>VLOOKUP(Tabela1[[#This Row],[Cliente]],'BASE DE CLIENTES'!A:D,4,0)</f>
        <v>CLIENTE NOVO S/ IDENT.</v>
      </c>
      <c r="L6501" s="1" t="str">
        <f>VLOOKUP(Tabela1[[#This Row],[Cliente]],'BASE DE CLIENTES'!A:E,5,0)</f>
        <v>TAGUATINGA</v>
      </c>
    </row>
    <row r="6502" spans="2:12" x14ac:dyDescent="0.3">
      <c r="B6502" t="s">
        <v>68</v>
      </c>
      <c r="C6502" s="1" t="str">
        <f>VLOOKUP(Tabela1[[#This Row],[Cliente]],'BASE DE CLIENTES'!A:E,2,0)</f>
        <v>Brasília</v>
      </c>
      <c r="D6502" s="1" t="str">
        <f>VLOOKUP(Tabela1[[#This Row],[Cliente]],'BASE DE CLIENTES'!A:C,3,0)</f>
        <v>DF</v>
      </c>
      <c r="E6502" s="1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3">
        <f>Tabela1[[#This Row],[MARGEM BRUTA]]/Tabela1[[#This Row],[Valor total]]</f>
        <v>0.39789959839357431</v>
      </c>
      <c r="K6502" s="1" t="str">
        <f>VLOOKUP(Tabela1[[#This Row],[Cliente]],'BASE DE CLIENTES'!A:D,4,0)</f>
        <v>EMPRESA COM MAQUINA</v>
      </c>
      <c r="L6502" s="1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1" t="str">
        <f>VLOOKUP(Tabela1[[#This Row],[Cliente]],'BASE DE CLIENTES'!A:E,2,0)</f>
        <v>Brasília</v>
      </c>
      <c r="D6503" s="1" t="str">
        <f>VLOOKUP(Tabela1[[#This Row],[Cliente]],'BASE DE CLIENTES'!A:C,3,0)</f>
        <v>DF</v>
      </c>
      <c r="E6503" s="1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3">
        <f>Tabela1[[#This Row],[MARGEM BRUTA]]/Tabela1[[#This Row],[Valor total]]</f>
        <v>0.38211382113821141</v>
      </c>
      <c r="K6503" s="1" t="str">
        <f>VLOOKUP(Tabela1[[#This Row],[Cliente]],'BASE DE CLIENTES'!A:D,4,0)</f>
        <v>SERRALHEIRO</v>
      </c>
      <c r="L6503" s="1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1" t="str">
        <f>VLOOKUP(Tabela1[[#This Row],[Cliente]],'BASE DE CLIENTES'!A:E,2,0)</f>
        <v>Águas Lindas de Goiás</v>
      </c>
      <c r="D6504" s="1" t="str">
        <f>VLOOKUP(Tabela1[[#This Row],[Cliente]],'BASE DE CLIENTES'!A:C,3,0)</f>
        <v>GO</v>
      </c>
      <c r="E6504" s="1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3">
        <f>Tabela1[[#This Row],[MARGEM BRUTA]]/Tabela1[[#This Row],[Valor total]]</f>
        <v>0.38211382113821141</v>
      </c>
      <c r="K6504" s="1" t="str">
        <f>VLOOKUP(Tabela1[[#This Row],[Cliente]],'BASE DE CLIENTES'!A:D,4,0)</f>
        <v>SERRALHEIRO</v>
      </c>
      <c r="L6504" s="1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1" t="str">
        <f>VLOOKUP(Tabela1[[#This Row],[Cliente]],'BASE DE CLIENTES'!A:E,2,0)</f>
        <v>Brasília</v>
      </c>
      <c r="D6505" s="1" t="str">
        <f>VLOOKUP(Tabela1[[#This Row],[Cliente]],'BASE DE CLIENTES'!A:C,3,0)</f>
        <v>DF</v>
      </c>
      <c r="E6505" s="1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3">
        <f>Tabela1[[#This Row],[MARGEM BRUTA]]/Tabela1[[#This Row],[Valor total]]</f>
        <v>0.30909090909090908</v>
      </c>
      <c r="K6505" s="1" t="str">
        <f>VLOOKUP(Tabela1[[#This Row],[Cliente]],'BASE DE CLIENTES'!A:D,4,0)</f>
        <v>EMPRESA SEM MAQUINA</v>
      </c>
      <c r="L6505" s="1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1" t="str">
        <f>VLOOKUP(Tabela1[[#This Row],[Cliente]],'BASE DE CLIENTES'!A:E,2,0)</f>
        <v>Brasília</v>
      </c>
      <c r="D6506" s="1" t="str">
        <f>VLOOKUP(Tabela1[[#This Row],[Cliente]],'BASE DE CLIENTES'!A:C,3,0)</f>
        <v>DF</v>
      </c>
      <c r="E6506" s="1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3">
        <f>Tabela1[[#This Row],[MARGEM BRUTA]]/Tabela1[[#This Row],[Valor total]]</f>
        <v>0.41538461538461541</v>
      </c>
      <c r="K6506" s="1" t="str">
        <f>VLOOKUP(Tabela1[[#This Row],[Cliente]],'BASE DE CLIENTES'!A:D,4,0)</f>
        <v>SERRALHEIRO</v>
      </c>
      <c r="L6506" s="1" t="str">
        <f>VLOOKUP(Tabela1[[#This Row],[Cliente]],'BASE DE CLIENTES'!A:E,5,0)</f>
        <v>Recanto das emas</v>
      </c>
    </row>
    <row r="6507" spans="2:12" x14ac:dyDescent="0.3">
      <c r="B6507" t="s">
        <v>19</v>
      </c>
      <c r="C6507" s="1" t="str">
        <f>VLOOKUP(Tabela1[[#This Row],[Cliente]],'BASE DE CLIENTES'!A:E,2,0)</f>
        <v>Águas Lindas de Goiás</v>
      </c>
      <c r="D6507" s="1" t="str">
        <f>VLOOKUP(Tabela1[[#This Row],[Cliente]],'BASE DE CLIENTES'!A:C,3,0)</f>
        <v>GO</v>
      </c>
      <c r="E6507" s="1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3">
        <f>Tabela1[[#This Row],[MARGEM BRUTA]]/Tabela1[[#This Row],[Valor total]]</f>
        <v>0.42799511599511597</v>
      </c>
      <c r="K6507" s="1" t="str">
        <f>VLOOKUP(Tabela1[[#This Row],[Cliente]],'BASE DE CLIENTES'!A:D,4,0)</f>
        <v>SERRALHEIRO</v>
      </c>
      <c r="L6507" s="1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1" t="str">
        <f>VLOOKUP(Tabela1[[#This Row],[Cliente]],'BASE DE CLIENTES'!A:E,2,0)</f>
        <v>Brasília</v>
      </c>
      <c r="D6508" s="1" t="str">
        <f>VLOOKUP(Tabela1[[#This Row],[Cliente]],'BASE DE CLIENTES'!A:C,3,0)</f>
        <v>DF</v>
      </c>
      <c r="E6508" s="1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3">
        <f>Tabela1[[#This Row],[MARGEM BRUTA]]/Tabela1[[#This Row],[Valor total]]</f>
        <v>0.39090909090909093</v>
      </c>
      <c r="K6508" s="1" t="str">
        <f>VLOOKUP(Tabela1[[#This Row],[Cliente]],'BASE DE CLIENTES'!A:D,4,0)</f>
        <v>EMPRESA SEM MAQUINA</v>
      </c>
      <c r="L6508" s="1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1" t="str">
        <f>VLOOKUP(Tabela1[[#This Row],[Cliente]],'BASE DE CLIENTES'!A:E,2,0)</f>
        <v>Brasília</v>
      </c>
      <c r="D6509" s="1" t="str">
        <f>VLOOKUP(Tabela1[[#This Row],[Cliente]],'BASE DE CLIENTES'!A:C,3,0)</f>
        <v>DF</v>
      </c>
      <c r="E6509" s="1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3">
        <f>Tabela1[[#This Row],[MARGEM BRUTA]]/Tabela1[[#This Row],[Valor total]]</f>
        <v>0.2294642857142857</v>
      </c>
      <c r="K6509" s="1" t="str">
        <f>VLOOKUP(Tabela1[[#This Row],[Cliente]],'BASE DE CLIENTES'!A:D,4,0)</f>
        <v>EMPRESA SEM MAQUINA</v>
      </c>
      <c r="L6509" s="1" t="str">
        <f>VLOOKUP(Tabela1[[#This Row],[Cliente]],'BASE DE CLIENTES'!A:E,5,0)</f>
        <v>RECANTO DAS EMAS</v>
      </c>
    </row>
    <row r="6510" spans="2:12" x14ac:dyDescent="0.3">
      <c r="B6510" t="s">
        <v>183</v>
      </c>
      <c r="C6510" s="1" t="str">
        <f>VLOOKUP(Tabela1[[#This Row],[Cliente]],'BASE DE CLIENTES'!A:E,2,0)</f>
        <v>Caldas Novas</v>
      </c>
      <c r="D6510" s="1" t="str">
        <f>VLOOKUP(Tabela1[[#This Row],[Cliente]],'BASE DE CLIENTES'!A:C,3,0)</f>
        <v>GO</v>
      </c>
      <c r="E6510" s="1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3">
        <f>Tabela1[[#This Row],[MARGEM BRUTA]]/Tabela1[[#This Row],[Valor total]]</f>
        <v>0.34405197159691792</v>
      </c>
      <c r="K6510" s="1" t="str">
        <f>VLOOKUP(Tabela1[[#This Row],[Cliente]],'BASE DE CLIENTES'!A:D,4,0)</f>
        <v>EMPRESA COM MAQUINA</v>
      </c>
      <c r="L6510" s="1" t="str">
        <f>VLOOKUP(Tabela1[[#This Row],[Cliente]],'BASE DE CLIENTES'!A:E,5,0)</f>
        <v>Caldas Novas</v>
      </c>
    </row>
    <row r="6511" spans="2:12" x14ac:dyDescent="0.3">
      <c r="B6511" t="s">
        <v>59</v>
      </c>
      <c r="C6511" s="1" t="str">
        <f>VLOOKUP(Tabela1[[#This Row],[Cliente]],'BASE DE CLIENTES'!A:E,2,0)</f>
        <v>Brasília</v>
      </c>
      <c r="D6511" s="1" t="str">
        <f>VLOOKUP(Tabela1[[#This Row],[Cliente]],'BASE DE CLIENTES'!A:C,3,0)</f>
        <v>DF</v>
      </c>
      <c r="E6511" s="1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3">
        <f>Tabela1[[#This Row],[MARGEM BRUTA]]/Tabela1[[#This Row],[Valor total]]</f>
        <v>0.77272727272727271</v>
      </c>
      <c r="K6511" s="1" t="str">
        <f>VLOOKUP(Tabela1[[#This Row],[Cliente]],'BASE DE CLIENTES'!A:D,4,0)</f>
        <v>EMPRESA COM MAQUINA</v>
      </c>
      <c r="L6511" s="1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1" t="str">
        <f>VLOOKUP(Tabela1[[#This Row],[Cliente]],'BASE DE CLIENTES'!A:E,2,0)</f>
        <v>Brasília</v>
      </c>
      <c r="D6512" s="1" t="str">
        <f>VLOOKUP(Tabela1[[#This Row],[Cliente]],'BASE DE CLIENTES'!A:C,3,0)</f>
        <v>DF</v>
      </c>
      <c r="E6512" s="1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3">
        <f>Tabela1[[#This Row],[MARGEM BRUTA]]/Tabela1[[#This Row],[Valor total]]</f>
        <v>0.45564625850340135</v>
      </c>
      <c r="K6512" s="1" t="str">
        <f>VLOOKUP(Tabela1[[#This Row],[Cliente]],'BASE DE CLIENTES'!A:D,4,0)</f>
        <v>SERRALHEIRO</v>
      </c>
      <c r="L6512" s="1" t="str">
        <f>VLOOKUP(Tabela1[[#This Row],[Cliente]],'BASE DE CLIENTES'!A:E,5,0)</f>
        <v>RIACHO FUNDO I</v>
      </c>
    </row>
    <row r="6513" spans="2:12" x14ac:dyDescent="0.3">
      <c r="B6513" t="s">
        <v>1147</v>
      </c>
      <c r="C6513" s="1" t="str">
        <f>VLOOKUP(Tabela1[[#This Row],[Cliente]],'BASE DE CLIENTES'!A:E,2,0)</f>
        <v>Salvador</v>
      </c>
      <c r="D6513" s="1" t="str">
        <f>VLOOKUP(Tabela1[[#This Row],[Cliente]],'BASE DE CLIENTES'!A:C,3,0)</f>
        <v>BA</v>
      </c>
      <c r="E6513" s="1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3">
        <f>Tabela1[[#This Row],[MARGEM BRUTA]]/Tabela1[[#This Row],[Valor total]]</f>
        <v>0.40489568573801732</v>
      </c>
      <c r="K6513" s="1" t="str">
        <f>VLOOKUP(Tabela1[[#This Row],[Cliente]],'BASE DE CLIENTES'!A:D,4,0)</f>
        <v>CLIENTE NOVO S/ IDENT.</v>
      </c>
      <c r="L6513" s="1" t="str">
        <f>VLOOKUP(Tabela1[[#This Row],[Cliente]],'BASE DE CLIENTES'!A:E,5,0)</f>
        <v>Salvador</v>
      </c>
    </row>
    <row r="6514" spans="2:12" x14ac:dyDescent="0.3">
      <c r="B6514" t="s">
        <v>52</v>
      </c>
      <c r="C6514" s="1" t="str">
        <f>VLOOKUP(Tabela1[[#This Row],[Cliente]],'BASE DE CLIENTES'!A:E,2,0)</f>
        <v>Brasília</v>
      </c>
      <c r="D6514" s="1" t="str">
        <f>VLOOKUP(Tabela1[[#This Row],[Cliente]],'BASE DE CLIENTES'!A:C,3,0)</f>
        <v>DF</v>
      </c>
      <c r="E6514" s="1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3">
        <f>Tabela1[[#This Row],[MARGEM BRUTA]]/Tabela1[[#This Row],[Valor total]]</f>
        <v>0.5</v>
      </c>
      <c r="K6514" s="1" t="str">
        <f>VLOOKUP(Tabela1[[#This Row],[Cliente]],'BASE DE CLIENTES'!A:D,4,0)</f>
        <v>SERRALHEIRO</v>
      </c>
      <c r="L6514" s="1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1" t="str">
        <f>VLOOKUP(Tabela1[[#This Row],[Cliente]],'BASE DE CLIENTES'!A:E,2,0)</f>
        <v>Brasília</v>
      </c>
      <c r="D6515" s="1" t="str">
        <f>VLOOKUP(Tabela1[[#This Row],[Cliente]],'BASE DE CLIENTES'!A:C,3,0)</f>
        <v>DF</v>
      </c>
      <c r="E6515" s="1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3">
        <f>Tabela1[[#This Row],[MARGEM BRUTA]]/Tabela1[[#This Row],[Valor total]]</f>
        <v>0.37624691358024692</v>
      </c>
      <c r="K6515" s="1" t="str">
        <f>VLOOKUP(Tabela1[[#This Row],[Cliente]],'BASE DE CLIENTES'!A:D,4,0)</f>
        <v>EMPRESA SEM MAQUINA</v>
      </c>
      <c r="L6515" s="1" t="str">
        <f>VLOOKUP(Tabela1[[#This Row],[Cliente]],'BASE DE CLIENTES'!A:E,5,0)</f>
        <v>SAMAMBAIA</v>
      </c>
    </row>
    <row r="6516" spans="2:12" x14ac:dyDescent="0.3">
      <c r="B6516" t="s">
        <v>1223</v>
      </c>
      <c r="C6516" s="1" t="str">
        <f>VLOOKUP(Tabela1[[#This Row],[Cliente]],'BASE DE CLIENTES'!A:E,2,0)</f>
        <v>MERCADO LIVRE</v>
      </c>
      <c r="D6516" s="1" t="str">
        <f>VLOOKUP(Tabela1[[#This Row],[Cliente]],'BASE DE CLIENTES'!A:C,3,0)</f>
        <v>MERCADO LIVRE</v>
      </c>
      <c r="E6516" s="1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3">
        <f>Tabela1[[#This Row],[MARGEM BRUTA]]/Tabela1[[#This Row],[Valor total]]</f>
        <v>0.61578773775057716</v>
      </c>
      <c r="K6516" s="1" t="str">
        <f>VLOOKUP(Tabela1[[#This Row],[Cliente]],'BASE DE CLIENTES'!A:D,4,0)</f>
        <v>OUTROS RAMOS</v>
      </c>
      <c r="L6516" s="1" t="str">
        <f>VLOOKUP(Tabela1[[#This Row],[Cliente]],'BASE DE CLIENTES'!A:E,5,0)</f>
        <v>MERCADO LIVRE</v>
      </c>
    </row>
    <row r="6517" spans="2:12" x14ac:dyDescent="0.3">
      <c r="B6517" t="s">
        <v>25</v>
      </c>
      <c r="C6517" s="1" t="str">
        <f>VLOOKUP(Tabela1[[#This Row],[Cliente]],'BASE DE CLIENTES'!A:E,2,0)</f>
        <v>Brasília</v>
      </c>
      <c r="D6517" s="1" t="str">
        <f>VLOOKUP(Tabela1[[#This Row],[Cliente]],'BASE DE CLIENTES'!A:C,3,0)</f>
        <v>DF</v>
      </c>
      <c r="E6517" s="1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3">
        <f>Tabela1[[#This Row],[MARGEM BRUTA]]/Tabela1[[#This Row],[Valor total]]</f>
        <v>0.38082905982905985</v>
      </c>
      <c r="K6517" s="1" t="str">
        <f>VLOOKUP(Tabela1[[#This Row],[Cliente]],'BASE DE CLIENTES'!A:D,4,0)</f>
        <v>EMPRESA COM MAQUINA</v>
      </c>
      <c r="L6517" s="1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1" t="str">
        <f>VLOOKUP(Tabela1[[#This Row],[Cliente]],'BASE DE CLIENTES'!A:E,2,0)</f>
        <v>Brasília</v>
      </c>
      <c r="D6518" s="1" t="str">
        <f>VLOOKUP(Tabela1[[#This Row],[Cliente]],'BASE DE CLIENTES'!A:C,3,0)</f>
        <v>DF</v>
      </c>
      <c r="E6518" s="1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3">
        <f>Tabela1[[#This Row],[MARGEM BRUTA]]/Tabela1[[#This Row],[Valor total]]</f>
        <v>0.16272727272727275</v>
      </c>
      <c r="K6518" s="1" t="str">
        <f>VLOOKUP(Tabela1[[#This Row],[Cliente]],'BASE DE CLIENTES'!A:D,4,0)</f>
        <v>EMPRESA SEM MAQUINA</v>
      </c>
      <c r="L6518" s="1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1" t="str">
        <f>VLOOKUP(Tabela1[[#This Row],[Cliente]],'BASE DE CLIENTES'!A:E,2,0)</f>
        <v>Brasília</v>
      </c>
      <c r="D6519" s="1" t="str">
        <f>VLOOKUP(Tabela1[[#This Row],[Cliente]],'BASE DE CLIENTES'!A:C,3,0)</f>
        <v>DF</v>
      </c>
      <c r="E6519" s="1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3">
        <f>Tabela1[[#This Row],[MARGEM BRUTA]]/Tabela1[[#This Row],[Valor total]]</f>
        <v>0.37394285714285719</v>
      </c>
      <c r="K6519" s="1" t="str">
        <f>VLOOKUP(Tabela1[[#This Row],[Cliente]],'BASE DE CLIENTES'!A:D,4,0)</f>
        <v>EMPRESA SEM MAQUINA</v>
      </c>
      <c r="L6519" s="1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1" t="str">
        <f>VLOOKUP(Tabela1[[#This Row],[Cliente]],'BASE DE CLIENTES'!A:E,2,0)</f>
        <v>Goiânia</v>
      </c>
      <c r="D6520" s="1" t="str">
        <f>VLOOKUP(Tabela1[[#This Row],[Cliente]],'BASE DE CLIENTES'!A:C,3,0)</f>
        <v>GO</v>
      </c>
      <c r="E6520" s="1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3">
        <f>Tabela1[[#This Row],[MARGEM BRUTA]]/Tabela1[[#This Row],[Valor total]]</f>
        <v>0.32558445040214479</v>
      </c>
      <c r="K6520" s="1" t="str">
        <f>VLOOKUP(Tabela1[[#This Row],[Cliente]],'BASE DE CLIENTES'!A:D,4,0)</f>
        <v>EMPRESA COM MAQUINA</v>
      </c>
      <c r="L6520" s="1" t="str">
        <f>VLOOKUP(Tabela1[[#This Row],[Cliente]],'BASE DE CLIENTES'!A:E,5,0)</f>
        <v>Goiânia</v>
      </c>
    </row>
    <row r="6521" spans="2:12" x14ac:dyDescent="0.3">
      <c r="B6521" t="s">
        <v>27</v>
      </c>
      <c r="C6521" s="1" t="str">
        <f>VLOOKUP(Tabela1[[#This Row],[Cliente]],'BASE DE CLIENTES'!A:E,2,0)</f>
        <v>Brasília</v>
      </c>
      <c r="D6521" s="1" t="str">
        <f>VLOOKUP(Tabela1[[#This Row],[Cliente]],'BASE DE CLIENTES'!A:C,3,0)</f>
        <v>DF</v>
      </c>
      <c r="E6521" s="1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3">
        <f>Tabela1[[#This Row],[MARGEM BRUTA]]/Tabela1[[#This Row],[Valor total]]</f>
        <v>0.37110754414125202</v>
      </c>
      <c r="K6521" s="1" t="str">
        <f>VLOOKUP(Tabela1[[#This Row],[Cliente]],'BASE DE CLIENTES'!A:D,4,0)</f>
        <v>EMPRESA SEM MAQUINA</v>
      </c>
      <c r="L6521" s="1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1" t="str">
        <f>VLOOKUP(Tabela1[[#This Row],[Cliente]],'BASE DE CLIENTES'!A:E,2,0)</f>
        <v>MERCADO LIVRE</v>
      </c>
      <c r="D6522" s="1" t="str">
        <f>VLOOKUP(Tabela1[[#This Row],[Cliente]],'BASE DE CLIENTES'!A:C,3,0)</f>
        <v>MERCADO LIVRE</v>
      </c>
      <c r="E6522" s="1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3">
        <f>Tabela1[[#This Row],[MARGEM BRUTA]]/Tabela1[[#This Row],[Valor total]]</f>
        <v>0.71708641230583625</v>
      </c>
      <c r="K6522" s="1" t="str">
        <f>VLOOKUP(Tabela1[[#This Row],[Cliente]],'BASE DE CLIENTES'!A:D,4,0)</f>
        <v>OUTROS RAMOS</v>
      </c>
      <c r="L6522" s="1" t="str">
        <f>VLOOKUP(Tabela1[[#This Row],[Cliente]],'BASE DE CLIENTES'!A:E,5,0)</f>
        <v>MERCADO LIVRE</v>
      </c>
    </row>
    <row r="6523" spans="2:12" x14ac:dyDescent="0.3">
      <c r="B6523" t="s">
        <v>1202</v>
      </c>
      <c r="C6523" s="1" t="str">
        <f>VLOOKUP(Tabela1[[#This Row],[Cliente]],'BASE DE CLIENTES'!A:E,2,0)</f>
        <v>Brasília</v>
      </c>
      <c r="D6523" s="1" t="str">
        <f>VLOOKUP(Tabela1[[#This Row],[Cliente]],'BASE DE CLIENTES'!A:C,3,0)</f>
        <v>DF</v>
      </c>
      <c r="E6523" s="1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3">
        <f>Tabela1[[#This Row],[MARGEM BRUTA]]/Tabela1[[#This Row],[Valor total]]</f>
        <v>0.41085271317829458</v>
      </c>
      <c r="K6523" s="1" t="str">
        <f>VLOOKUP(Tabela1[[#This Row],[Cliente]],'BASE DE CLIENTES'!A:D,4,0)</f>
        <v>CLIENTE NOVO S/ IDENT.</v>
      </c>
      <c r="L6523" s="1" t="str">
        <f>VLOOKUP(Tabela1[[#This Row],[Cliente]],'BASE DE CLIENTES'!A:E,5,0)</f>
        <v>TAGUATINGA</v>
      </c>
    </row>
    <row r="6524" spans="2:12" x14ac:dyDescent="0.3">
      <c r="B6524" t="s">
        <v>1223</v>
      </c>
      <c r="C6524" s="1" t="str">
        <f>VLOOKUP(Tabela1[[#This Row],[Cliente]],'BASE DE CLIENTES'!A:E,2,0)</f>
        <v>MERCADO LIVRE</v>
      </c>
      <c r="D6524" s="1" t="str">
        <f>VLOOKUP(Tabela1[[#This Row],[Cliente]],'BASE DE CLIENTES'!A:C,3,0)</f>
        <v>MERCADO LIVRE</v>
      </c>
      <c r="E6524" s="1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3">
        <f>Tabela1[[#This Row],[MARGEM BRUTA]]/Tabela1[[#This Row],[Valor total]]</f>
        <v>0.71708641230583625</v>
      </c>
      <c r="K6524" s="1" t="str">
        <f>VLOOKUP(Tabela1[[#This Row],[Cliente]],'BASE DE CLIENTES'!A:D,4,0)</f>
        <v>OUTROS RAMOS</v>
      </c>
      <c r="L6524" s="1" t="str">
        <f>VLOOKUP(Tabela1[[#This Row],[Cliente]],'BASE DE CLIENTES'!A:E,5,0)</f>
        <v>MERCADO LIVRE</v>
      </c>
    </row>
    <row r="6525" spans="2:12" x14ac:dyDescent="0.3">
      <c r="B6525" t="s">
        <v>34</v>
      </c>
      <c r="C6525" s="1" t="str">
        <f>VLOOKUP(Tabela1[[#This Row],[Cliente]],'BASE DE CLIENTES'!A:E,2,0)</f>
        <v>Brasília</v>
      </c>
      <c r="D6525" s="1" t="str">
        <f>VLOOKUP(Tabela1[[#This Row],[Cliente]],'BASE DE CLIENTES'!A:C,3,0)</f>
        <v>DF</v>
      </c>
      <c r="E6525" s="1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3">
        <f>Tabela1[[#This Row],[MARGEM BRUTA]]/Tabela1[[#This Row],[Valor total]]</f>
        <v>0.2136666666666667</v>
      </c>
      <c r="K6525" s="1" t="str">
        <f>VLOOKUP(Tabela1[[#This Row],[Cliente]],'BASE DE CLIENTES'!A:D,4,0)</f>
        <v>SERRALHEIRO</v>
      </c>
      <c r="L6525" s="1" t="str">
        <f>VLOOKUP(Tabela1[[#This Row],[Cliente]],'BASE DE CLIENTES'!A:E,5,0)</f>
        <v>RECANTO DAS EMAS</v>
      </c>
    </row>
    <row r="6526" spans="2:12" x14ac:dyDescent="0.3">
      <c r="B6526" t="s">
        <v>38</v>
      </c>
      <c r="C6526" s="1" t="str">
        <f>VLOOKUP(Tabela1[[#This Row],[Cliente]],'BASE DE CLIENTES'!A:E,2,0)</f>
        <v>Brasília</v>
      </c>
      <c r="D6526" s="1" t="str">
        <f>VLOOKUP(Tabela1[[#This Row],[Cliente]],'BASE DE CLIENTES'!A:C,3,0)</f>
        <v>DF</v>
      </c>
      <c r="E6526" s="1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3">
        <f>Tabela1[[#This Row],[MARGEM BRUTA]]/Tabela1[[#This Row],[Valor total]]</f>
        <v>0.47023529411764703</v>
      </c>
      <c r="K6526" s="1" t="str">
        <f>VLOOKUP(Tabela1[[#This Row],[Cliente]],'BASE DE CLIENTES'!A:D,4,0)</f>
        <v>EMPRESA SEM MAQUINA</v>
      </c>
      <c r="L6526" s="1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1" t="str">
        <f>VLOOKUP(Tabela1[[#This Row],[Cliente]],'BASE DE CLIENTES'!A:E,2,0)</f>
        <v>Brasília</v>
      </c>
      <c r="D6527" s="1" t="str">
        <f>VLOOKUP(Tabela1[[#This Row],[Cliente]],'BASE DE CLIENTES'!A:C,3,0)</f>
        <v>DF</v>
      </c>
      <c r="E6527" s="1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3">
        <f>Tabela1[[#This Row],[MARGEM BRUTA]]/Tabela1[[#This Row],[Valor total]]</f>
        <v>0.34395377503852076</v>
      </c>
      <c r="K6527" s="1" t="str">
        <f>VLOOKUP(Tabela1[[#This Row],[Cliente]],'BASE DE CLIENTES'!A:D,4,0)</f>
        <v>EMPRESA COM MAQUINA</v>
      </c>
      <c r="L6527" s="1" t="str">
        <f>VLOOKUP(Tabela1[[#This Row],[Cliente]],'BASE DE CLIENTES'!A:E,5,0)</f>
        <v>RIACHO FUNDO II</v>
      </c>
    </row>
    <row r="6528" spans="2:12" x14ac:dyDescent="0.3">
      <c r="B6528" t="s">
        <v>19</v>
      </c>
      <c r="C6528" s="1" t="str">
        <f>VLOOKUP(Tabela1[[#This Row],[Cliente]],'BASE DE CLIENTES'!A:E,2,0)</f>
        <v>Águas Lindas de Goiás</v>
      </c>
      <c r="D6528" s="1" t="str">
        <f>VLOOKUP(Tabela1[[#This Row],[Cliente]],'BASE DE CLIENTES'!A:C,3,0)</f>
        <v>GO</v>
      </c>
      <c r="E6528" s="1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3">
        <f>Tabela1[[#This Row],[MARGEM BRUTA]]/Tabela1[[#This Row],[Valor total]]</f>
        <v>0.44166666666666665</v>
      </c>
      <c r="K6528" s="1" t="str">
        <f>VLOOKUP(Tabela1[[#This Row],[Cliente]],'BASE DE CLIENTES'!A:D,4,0)</f>
        <v>SERRALHEIRO</v>
      </c>
      <c r="L6528" s="1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1" t="str">
        <f>VLOOKUP(Tabela1[[#This Row],[Cliente]],'BASE DE CLIENTES'!A:E,2,0)</f>
        <v>Brasília</v>
      </c>
      <c r="D6529" s="1" t="str">
        <f>VLOOKUP(Tabela1[[#This Row],[Cliente]],'BASE DE CLIENTES'!A:C,3,0)</f>
        <v>DF</v>
      </c>
      <c r="E6529" s="1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3">
        <f>Tabela1[[#This Row],[MARGEM BRUTA]]/Tabela1[[#This Row],[Valor total]]</f>
        <v>0.30909090909090908</v>
      </c>
      <c r="K6529" s="1" t="str">
        <f>VLOOKUP(Tabela1[[#This Row],[Cliente]],'BASE DE CLIENTES'!A:D,4,0)</f>
        <v>EMPRESA SEM MAQUINA</v>
      </c>
      <c r="L6529" s="1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1" t="str">
        <f>VLOOKUP(Tabela1[[#This Row],[Cliente]],'BASE DE CLIENTES'!A:E,2,0)</f>
        <v>Brasília</v>
      </c>
      <c r="D6530" s="1" t="str">
        <f>VLOOKUP(Tabela1[[#This Row],[Cliente]],'BASE DE CLIENTES'!A:C,3,0)</f>
        <v>DF</v>
      </c>
      <c r="E6530" s="1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3">
        <f>Tabela1[[#This Row],[MARGEM BRUTA]]/Tabela1[[#This Row],[Valor total]]</f>
        <v>0.39491722595078305</v>
      </c>
      <c r="K6530" s="1" t="str">
        <f>VLOOKUP(Tabela1[[#This Row],[Cliente]],'BASE DE CLIENTES'!A:D,4,0)</f>
        <v>EMPRESA SEM MAQUINA</v>
      </c>
      <c r="L6530" s="1" t="str">
        <f>VLOOKUP(Tabela1[[#This Row],[Cliente]],'BASE DE CLIENTES'!A:E,5,0)</f>
        <v>SOBRADINHO</v>
      </c>
    </row>
    <row r="6531" spans="2:12" x14ac:dyDescent="0.3">
      <c r="B6531" t="s">
        <v>1223</v>
      </c>
      <c r="C6531" s="1" t="str">
        <f>VLOOKUP(Tabela1[[#This Row],[Cliente]],'BASE DE CLIENTES'!A:E,2,0)</f>
        <v>MERCADO LIVRE</v>
      </c>
      <c r="D6531" s="1" t="str">
        <f>VLOOKUP(Tabela1[[#This Row],[Cliente]],'BASE DE CLIENTES'!A:C,3,0)</f>
        <v>MERCADO LIVRE</v>
      </c>
      <c r="E6531" s="1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3">
        <f>Tabela1[[#This Row],[MARGEM BRUTA]]/Tabela1[[#This Row],[Valor total]]</f>
        <v>0.67589939509710284</v>
      </c>
      <c r="K6531" s="1" t="str">
        <f>VLOOKUP(Tabela1[[#This Row],[Cliente]],'BASE DE CLIENTES'!A:D,4,0)</f>
        <v>OUTROS RAMOS</v>
      </c>
      <c r="L6531" s="1" t="str">
        <f>VLOOKUP(Tabela1[[#This Row],[Cliente]],'BASE DE CLIENTES'!A:E,5,0)</f>
        <v>MERCADO LIVRE</v>
      </c>
    </row>
    <row r="6532" spans="2:12" x14ac:dyDescent="0.3">
      <c r="B6532" t="s">
        <v>253</v>
      </c>
      <c r="C6532" s="1" t="str">
        <f>VLOOKUP(Tabela1[[#This Row],[Cliente]],'BASE DE CLIENTES'!A:E,2,0)</f>
        <v>Luziânia</v>
      </c>
      <c r="D6532" s="1" t="str">
        <f>VLOOKUP(Tabela1[[#This Row],[Cliente]],'BASE DE CLIENTES'!A:C,3,0)</f>
        <v>GO</v>
      </c>
      <c r="E6532" s="1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3">
        <f>Tabela1[[#This Row],[MARGEM BRUTA]]/Tabela1[[#This Row],[Valor total]]</f>
        <v>0.16666666666666666</v>
      </c>
      <c r="K6532" s="1" t="str">
        <f>VLOOKUP(Tabela1[[#This Row],[Cliente]],'BASE DE CLIENTES'!A:D,4,0)</f>
        <v>EMPRESA COM MAQUINA</v>
      </c>
      <c r="L6532" s="1" t="str">
        <f>VLOOKUP(Tabela1[[#This Row],[Cliente]],'BASE DE CLIENTES'!A:E,5,0)</f>
        <v>Luziânia</v>
      </c>
    </row>
    <row r="6533" spans="2:12" x14ac:dyDescent="0.3">
      <c r="B6533" t="s">
        <v>1223</v>
      </c>
      <c r="C6533" s="1" t="str">
        <f>VLOOKUP(Tabela1[[#This Row],[Cliente]],'BASE DE CLIENTES'!A:E,2,0)</f>
        <v>MERCADO LIVRE</v>
      </c>
      <c r="D6533" s="1" t="str">
        <f>VLOOKUP(Tabela1[[#This Row],[Cliente]],'BASE DE CLIENTES'!A:C,3,0)</f>
        <v>MERCADO LIVRE</v>
      </c>
      <c r="E6533" s="1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3">
        <f>Tabela1[[#This Row],[MARGEM BRUTA]]/Tabela1[[#This Row],[Valor total]]</f>
        <v>0.43867842448260186</v>
      </c>
      <c r="K6533" s="1" t="str">
        <f>VLOOKUP(Tabela1[[#This Row],[Cliente]],'BASE DE CLIENTES'!A:D,4,0)</f>
        <v>OUTROS RAMOS</v>
      </c>
      <c r="L6533" s="1" t="str">
        <f>VLOOKUP(Tabela1[[#This Row],[Cliente]],'BASE DE CLIENTES'!A:E,5,0)</f>
        <v>MERCADO LIVRE</v>
      </c>
    </row>
    <row r="6534" spans="2:12" x14ac:dyDescent="0.3">
      <c r="B6534" t="s">
        <v>85</v>
      </c>
      <c r="C6534" s="1" t="str">
        <f>VLOOKUP(Tabela1[[#This Row],[Cliente]],'BASE DE CLIENTES'!A:E,2,0)</f>
        <v>Brasília</v>
      </c>
      <c r="D6534" s="1" t="str">
        <f>VLOOKUP(Tabela1[[#This Row],[Cliente]],'BASE DE CLIENTES'!A:C,3,0)</f>
        <v>DF</v>
      </c>
      <c r="E6534" s="1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3">
        <f>Tabela1[[#This Row],[MARGEM BRUTA]]/Tabela1[[#This Row],[Valor total]]</f>
        <v>0.61818181818181817</v>
      </c>
      <c r="K6534" s="1" t="str">
        <f>VLOOKUP(Tabela1[[#This Row],[Cliente]],'BASE DE CLIENTES'!A:D,4,0)</f>
        <v>SERRALHEIRO</v>
      </c>
      <c r="L6534" s="1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1" t="str">
        <f>VLOOKUP(Tabela1[[#This Row],[Cliente]],'BASE DE CLIENTES'!A:E,2,0)</f>
        <v>Brasília</v>
      </c>
      <c r="D6535" s="1" t="str">
        <f>VLOOKUP(Tabela1[[#This Row],[Cliente]],'BASE DE CLIENTES'!A:C,3,0)</f>
        <v>DF</v>
      </c>
      <c r="E6535" s="1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3">
        <f>Tabela1[[#This Row],[MARGEM BRUTA]]/Tabela1[[#This Row],[Valor total]]</f>
        <v>0.48148148148148145</v>
      </c>
      <c r="K6535" s="1" t="str">
        <f>VLOOKUP(Tabela1[[#This Row],[Cliente]],'BASE DE CLIENTES'!A:D,4,0)</f>
        <v>SERRALHEIRO</v>
      </c>
      <c r="L6535" s="1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1" t="str">
        <f>VLOOKUP(Tabela1[[#This Row],[Cliente]],'BASE DE CLIENTES'!A:E,2,0)</f>
        <v>Brasília</v>
      </c>
      <c r="D6536" s="1" t="str">
        <f>VLOOKUP(Tabela1[[#This Row],[Cliente]],'BASE DE CLIENTES'!A:C,3,0)</f>
        <v>DF</v>
      </c>
      <c r="E6536" s="1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3">
        <f>Tabela1[[#This Row],[MARGEM BRUTA]]/Tabela1[[#This Row],[Valor total]]</f>
        <v>0.21354838709677423</v>
      </c>
      <c r="K6536" s="1" t="str">
        <f>VLOOKUP(Tabela1[[#This Row],[Cliente]],'BASE DE CLIENTES'!A:D,4,0)</f>
        <v>SERRALHEIRO</v>
      </c>
      <c r="L6536" s="1" t="str">
        <f>VLOOKUP(Tabela1[[#This Row],[Cliente]],'BASE DE CLIENTES'!A:E,5,0)</f>
        <v>NA</v>
      </c>
    </row>
    <row r="6537" spans="2:12" x14ac:dyDescent="0.3">
      <c r="B6537" t="s">
        <v>117</v>
      </c>
      <c r="C6537" s="1" t="str">
        <f>VLOOKUP(Tabela1[[#This Row],[Cliente]],'BASE DE CLIENTES'!A:E,2,0)</f>
        <v>Brasília</v>
      </c>
      <c r="D6537" s="1" t="str">
        <f>VLOOKUP(Tabela1[[#This Row],[Cliente]],'BASE DE CLIENTES'!A:C,3,0)</f>
        <v>DF</v>
      </c>
      <c r="E6537" s="1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3">
        <f>Tabela1[[#This Row],[MARGEM BRUTA]]/Tabela1[[#This Row],[Valor total]]</f>
        <v>0.31358490566037733</v>
      </c>
      <c r="K6537" s="1" t="str">
        <f>VLOOKUP(Tabela1[[#This Row],[Cliente]],'BASE DE CLIENTES'!A:D,4,0)</f>
        <v>EMPRESA COM MAQUINA</v>
      </c>
      <c r="L6537" s="1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1" t="str">
        <f>VLOOKUP(Tabela1[[#This Row],[Cliente]],'BASE DE CLIENTES'!A:E,2,0)</f>
        <v>Águas Lindas de Goiás</v>
      </c>
      <c r="D6538" s="1" t="str">
        <f>VLOOKUP(Tabela1[[#This Row],[Cliente]],'BASE DE CLIENTES'!A:C,3,0)</f>
        <v>GO</v>
      </c>
      <c r="E6538" s="1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3">
        <f>Tabela1[[#This Row],[MARGEM BRUTA]]/Tabela1[[#This Row],[Valor total]]</f>
        <v>0.38211382113821141</v>
      </c>
      <c r="K6538" s="1" t="str">
        <f>VLOOKUP(Tabela1[[#This Row],[Cliente]],'BASE DE CLIENTES'!A:D,4,0)</f>
        <v>EMPRESA COM MAQUINA</v>
      </c>
      <c r="L6538" s="1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1" t="str">
        <f>VLOOKUP(Tabela1[[#This Row],[Cliente]],'BASE DE CLIENTES'!A:E,2,0)</f>
        <v>Brasília</v>
      </c>
      <c r="D6539" s="1" t="str">
        <f>VLOOKUP(Tabela1[[#This Row],[Cliente]],'BASE DE CLIENTES'!A:C,3,0)</f>
        <v>DF</v>
      </c>
      <c r="E6539" s="1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3">
        <f>Tabela1[[#This Row],[MARGEM BRUTA]]/Tabela1[[#This Row],[Valor total]]</f>
        <v>0.45405405405405408</v>
      </c>
      <c r="K6539" s="1" t="str">
        <f>VLOOKUP(Tabela1[[#This Row],[Cliente]],'BASE DE CLIENTES'!A:D,4,0)</f>
        <v>SERRALHEIRO</v>
      </c>
      <c r="L6539" s="1" t="str">
        <f>VLOOKUP(Tabela1[[#This Row],[Cliente]],'BASE DE CLIENTES'!A:E,5,0)</f>
        <v>CEILANDIA NORTE</v>
      </c>
    </row>
    <row r="6540" spans="2:12" x14ac:dyDescent="0.3">
      <c r="B6540" t="s">
        <v>38</v>
      </c>
      <c r="C6540" s="1" t="str">
        <f>VLOOKUP(Tabela1[[#This Row],[Cliente]],'BASE DE CLIENTES'!A:E,2,0)</f>
        <v>Brasília</v>
      </c>
      <c r="D6540" s="1" t="str">
        <f>VLOOKUP(Tabela1[[#This Row],[Cliente]],'BASE DE CLIENTES'!A:C,3,0)</f>
        <v>DF</v>
      </c>
      <c r="E6540" s="1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3">
        <f>Tabela1[[#This Row],[MARGEM BRUTA]]/Tabela1[[#This Row],[Valor total]]</f>
        <v>0.47023529411764703</v>
      </c>
      <c r="K6540" s="1" t="str">
        <f>VLOOKUP(Tabela1[[#This Row],[Cliente]],'BASE DE CLIENTES'!A:D,4,0)</f>
        <v>EMPRESA SEM MAQUINA</v>
      </c>
      <c r="L6540" s="1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1" t="str">
        <f>VLOOKUP(Tabela1[[#This Row],[Cliente]],'BASE DE CLIENTES'!A:E,2,0)</f>
        <v>Brasília</v>
      </c>
      <c r="D6541" s="1" t="str">
        <f>VLOOKUP(Tabela1[[#This Row],[Cliente]],'BASE DE CLIENTES'!A:C,3,0)</f>
        <v>DF</v>
      </c>
      <c r="E6541" s="1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3">
        <f>Tabela1[[#This Row],[MARGEM BRUTA]]/Tabela1[[#This Row],[Valor total]]</f>
        <v>0.79166666666666663</v>
      </c>
      <c r="K6541" s="1" t="str">
        <f>VLOOKUP(Tabela1[[#This Row],[Cliente]],'BASE DE CLIENTES'!A:D,4,0)</f>
        <v>CLIENTE NOVO S/ IDENT.</v>
      </c>
      <c r="L6541" s="1" t="str">
        <f>VLOOKUP(Tabela1[[#This Row],[Cliente]],'BASE DE CLIENTES'!A:E,5,0)</f>
        <v>Brasília</v>
      </c>
    </row>
    <row r="6542" spans="2:12" x14ac:dyDescent="0.3">
      <c r="B6542" t="s">
        <v>99</v>
      </c>
      <c r="C6542" s="1" t="str">
        <f>VLOOKUP(Tabela1[[#This Row],[Cliente]],'BASE DE CLIENTES'!A:E,2,0)</f>
        <v>Brasília</v>
      </c>
      <c r="D6542" s="1" t="str">
        <f>VLOOKUP(Tabela1[[#This Row],[Cliente]],'BASE DE CLIENTES'!A:C,3,0)</f>
        <v>DF</v>
      </c>
      <c r="E6542" s="1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3">
        <f>Tabela1[[#This Row],[MARGEM BRUTA]]/Tabela1[[#This Row],[Valor total]]</f>
        <v>0.40221822541966429</v>
      </c>
      <c r="K6542" s="1" t="str">
        <f>VLOOKUP(Tabela1[[#This Row],[Cliente]],'BASE DE CLIENTES'!A:D,4,0)</f>
        <v>EMPRESA COM MAQUINA</v>
      </c>
      <c r="L6542" s="1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1" t="str">
        <f>VLOOKUP(Tabela1[[#This Row],[Cliente]],'BASE DE CLIENTES'!A:E,2,0)</f>
        <v>Brasília</v>
      </c>
      <c r="D6543" s="1" t="str">
        <f>VLOOKUP(Tabela1[[#This Row],[Cliente]],'BASE DE CLIENTES'!A:C,3,0)</f>
        <v>DF</v>
      </c>
      <c r="E6543" s="1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3">
        <f>Tabela1[[#This Row],[MARGEM BRUTA]]/Tabela1[[#This Row],[Valor total]]</f>
        <v>1</v>
      </c>
      <c r="K6543" s="1" t="str">
        <f>VLOOKUP(Tabela1[[#This Row],[Cliente]],'BASE DE CLIENTES'!A:D,4,0)</f>
        <v>EMPRESA COM MAQUINA</v>
      </c>
      <c r="L6543" s="1" t="str">
        <f>VLOOKUP(Tabela1[[#This Row],[Cliente]],'BASE DE CLIENTES'!A:E,5,0)</f>
        <v>26 DE SETEMBRO</v>
      </c>
    </row>
    <row r="6544" spans="2:12" x14ac:dyDescent="0.3">
      <c r="B6544" t="s">
        <v>78</v>
      </c>
      <c r="C6544" s="1" t="str">
        <f>VLOOKUP(Tabela1[[#This Row],[Cliente]],'BASE DE CLIENTES'!A:E,2,0)</f>
        <v>Brasília</v>
      </c>
      <c r="D6544" s="1" t="str">
        <f>VLOOKUP(Tabela1[[#This Row],[Cliente]],'BASE DE CLIENTES'!A:C,3,0)</f>
        <v>DF</v>
      </c>
      <c r="E6544" s="1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3">
        <f>Tabela1[[#This Row],[MARGEM BRUTA]]/Tabela1[[#This Row],[Valor total]]</f>
        <v>1</v>
      </c>
      <c r="K6544" s="1" t="str">
        <f>VLOOKUP(Tabela1[[#This Row],[Cliente]],'BASE DE CLIENTES'!A:D,4,0)</f>
        <v>SERRALHEIRO</v>
      </c>
      <c r="L6544" s="1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974"/>
  <sheetViews>
    <sheetView showGridLines="0" topLeftCell="B951" workbookViewId="0">
      <selection activeCell="M910" sqref="M910:M974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  <row r="911" spans="1:13" x14ac:dyDescent="0.3">
      <c r="A911" t="s">
        <v>505</v>
      </c>
      <c r="B911" t="s">
        <v>502</v>
      </c>
      <c r="C911" t="s">
        <v>506</v>
      </c>
      <c r="D911" s="9">
        <v>1800</v>
      </c>
      <c r="E911" s="23">
        <v>3</v>
      </c>
      <c r="F911" s="24">
        <v>5400</v>
      </c>
      <c r="G911" s="23">
        <v>3.95</v>
      </c>
      <c r="H911" s="23">
        <v>22.58</v>
      </c>
      <c r="I911" s="23">
        <v>0</v>
      </c>
      <c r="J911" s="24">
        <v>7117.42</v>
      </c>
      <c r="K911" s="24">
        <v>1717.42</v>
      </c>
      <c r="L911" t="s">
        <v>668</v>
      </c>
      <c r="M911" s="11">
        <v>2026</v>
      </c>
    </row>
    <row r="912" spans="1:13" x14ac:dyDescent="0.3">
      <c r="A912" t="s">
        <v>515</v>
      </c>
      <c r="B912" t="s">
        <v>502</v>
      </c>
      <c r="C912" t="s">
        <v>516</v>
      </c>
      <c r="D912" s="9">
        <v>1349</v>
      </c>
      <c r="E912" s="23">
        <v>7.6</v>
      </c>
      <c r="F912" s="24">
        <v>10252.4</v>
      </c>
      <c r="G912" s="23">
        <v>17.89</v>
      </c>
      <c r="H912" s="23">
        <v>70.22</v>
      </c>
      <c r="I912" s="23">
        <v>24.58</v>
      </c>
      <c r="J912" s="24">
        <v>24127.38</v>
      </c>
      <c r="K912" s="24">
        <v>13874.98</v>
      </c>
      <c r="L912" t="s">
        <v>668</v>
      </c>
      <c r="M912" s="11">
        <v>2026</v>
      </c>
    </row>
    <row r="913" spans="1:13" x14ac:dyDescent="0.3">
      <c r="A913" t="s">
        <v>511</v>
      </c>
      <c r="B913" t="s">
        <v>502</v>
      </c>
      <c r="C913" t="s">
        <v>512</v>
      </c>
      <c r="D913">
        <v>496</v>
      </c>
      <c r="E913" s="23">
        <v>380</v>
      </c>
      <c r="F913" s="24">
        <v>188480</v>
      </c>
      <c r="G913" s="23">
        <v>575.53</v>
      </c>
      <c r="H913" s="24">
        <v>1537.59</v>
      </c>
      <c r="I913" s="23">
        <v>483.23</v>
      </c>
      <c r="J913" s="24">
        <v>285464.14</v>
      </c>
      <c r="K913" s="24">
        <v>96984.14</v>
      </c>
      <c r="L913" t="s">
        <v>668</v>
      </c>
      <c r="M913" s="11">
        <v>2026</v>
      </c>
    </row>
    <row r="914" spans="1:13" x14ac:dyDescent="0.3">
      <c r="A914" t="s">
        <v>513</v>
      </c>
      <c r="B914" t="s">
        <v>502</v>
      </c>
      <c r="C914" t="s">
        <v>514</v>
      </c>
      <c r="D914">
        <v>315</v>
      </c>
      <c r="E914" s="23">
        <v>419</v>
      </c>
      <c r="F914" s="24">
        <v>131985</v>
      </c>
      <c r="G914" s="23">
        <v>621.33000000000004</v>
      </c>
      <c r="H914" s="24">
        <v>1280.74</v>
      </c>
      <c r="I914" s="23">
        <v>708.53</v>
      </c>
      <c r="J914" s="24">
        <v>195718.99</v>
      </c>
      <c r="K914" s="24">
        <v>63733.99</v>
      </c>
      <c r="L914" t="s">
        <v>668</v>
      </c>
      <c r="M914" s="11">
        <v>2026</v>
      </c>
    </row>
    <row r="915" spans="1:13" x14ac:dyDescent="0.3">
      <c r="A915" t="s">
        <v>547</v>
      </c>
      <c r="B915" t="s">
        <v>502</v>
      </c>
      <c r="C915" t="s">
        <v>655</v>
      </c>
      <c r="D915">
        <v>279</v>
      </c>
      <c r="E915" s="23">
        <v>3.05</v>
      </c>
      <c r="F915" s="23">
        <v>850.95</v>
      </c>
      <c r="G915" s="23">
        <v>4.26</v>
      </c>
      <c r="H915" s="23">
        <v>32.19</v>
      </c>
      <c r="I915" s="23">
        <v>0</v>
      </c>
      <c r="J915" s="24">
        <v>1189.31</v>
      </c>
      <c r="K915" s="23">
        <v>338.36</v>
      </c>
      <c r="L915" t="s">
        <v>668</v>
      </c>
      <c r="M915" s="11">
        <v>2026</v>
      </c>
    </row>
    <row r="916" spans="1:13" x14ac:dyDescent="0.3">
      <c r="A916" t="s">
        <v>624</v>
      </c>
      <c r="B916" t="s">
        <v>502</v>
      </c>
      <c r="C916" t="s">
        <v>751</v>
      </c>
      <c r="D916">
        <v>229</v>
      </c>
      <c r="E916" s="23">
        <v>7.6</v>
      </c>
      <c r="F916" s="24">
        <v>1740.4</v>
      </c>
      <c r="G916" s="23">
        <v>17.149999999999999</v>
      </c>
      <c r="H916" s="23">
        <v>139.97</v>
      </c>
      <c r="I916" s="23">
        <v>57.39</v>
      </c>
      <c r="J916" s="24">
        <v>3928.02</v>
      </c>
      <c r="K916" s="24">
        <v>2187.62</v>
      </c>
      <c r="L916" t="s">
        <v>668</v>
      </c>
      <c r="M916" s="11">
        <v>2026</v>
      </c>
    </row>
    <row r="917" spans="1:13" x14ac:dyDescent="0.3">
      <c r="A917" t="s">
        <v>527</v>
      </c>
      <c r="B917" t="s">
        <v>502</v>
      </c>
      <c r="C917" t="s">
        <v>528</v>
      </c>
      <c r="D917">
        <v>203</v>
      </c>
      <c r="E917" s="23">
        <v>56.28</v>
      </c>
      <c r="F917" s="24">
        <v>11424.84</v>
      </c>
      <c r="G917" s="23">
        <v>136.74</v>
      </c>
      <c r="H917" s="24">
        <v>2655.04</v>
      </c>
      <c r="I917" s="23">
        <v>186.21</v>
      </c>
      <c r="J917" s="24">
        <v>27758.97</v>
      </c>
      <c r="K917" s="24">
        <v>16334.13</v>
      </c>
      <c r="L917" t="s">
        <v>668</v>
      </c>
      <c r="M917" s="11">
        <v>2026</v>
      </c>
    </row>
    <row r="918" spans="1:13" x14ac:dyDescent="0.3">
      <c r="A918" t="s">
        <v>521</v>
      </c>
      <c r="B918" t="s">
        <v>502</v>
      </c>
      <c r="C918" t="s">
        <v>522</v>
      </c>
      <c r="D918">
        <v>195</v>
      </c>
      <c r="E918" s="23">
        <v>463.69</v>
      </c>
      <c r="F918" s="24">
        <v>90419.55</v>
      </c>
      <c r="G918" s="23">
        <v>705.75</v>
      </c>
      <c r="H918" s="23">
        <v>440.64</v>
      </c>
      <c r="I918" s="23">
        <v>172.24</v>
      </c>
      <c r="J918" s="24">
        <v>137620.59</v>
      </c>
      <c r="K918" s="24">
        <v>47201.04</v>
      </c>
      <c r="L918" t="s">
        <v>668</v>
      </c>
      <c r="M918" s="11">
        <v>2026</v>
      </c>
    </row>
    <row r="919" spans="1:13" x14ac:dyDescent="0.3">
      <c r="A919" t="s">
        <v>685</v>
      </c>
      <c r="B919" t="s">
        <v>502</v>
      </c>
      <c r="C919" t="s">
        <v>752</v>
      </c>
      <c r="D919">
        <v>160</v>
      </c>
      <c r="E919" s="23">
        <v>2</v>
      </c>
      <c r="F919" s="23">
        <v>320</v>
      </c>
      <c r="G919" s="23">
        <v>2.99</v>
      </c>
      <c r="H919" s="23">
        <v>2.0699999999999998</v>
      </c>
      <c r="I919" s="23">
        <v>0</v>
      </c>
      <c r="J919" s="23">
        <v>477.93</v>
      </c>
      <c r="K919" s="23">
        <v>157.93</v>
      </c>
      <c r="L919" t="s">
        <v>668</v>
      </c>
      <c r="M919" s="11">
        <v>2026</v>
      </c>
    </row>
    <row r="920" spans="1:13" x14ac:dyDescent="0.3">
      <c r="A920" t="s">
        <v>535</v>
      </c>
      <c r="B920" t="s">
        <v>502</v>
      </c>
      <c r="C920" t="s">
        <v>536</v>
      </c>
      <c r="D920">
        <v>123</v>
      </c>
      <c r="E920" s="23">
        <v>486.18</v>
      </c>
      <c r="F920" s="24">
        <v>59800.14</v>
      </c>
      <c r="G920" s="23">
        <v>759.53</v>
      </c>
      <c r="H920" s="24">
        <v>1220.52</v>
      </c>
      <c r="I920" s="23">
        <v>0</v>
      </c>
      <c r="J920" s="24">
        <v>93422.49</v>
      </c>
      <c r="K920" s="24">
        <v>33622.35</v>
      </c>
      <c r="L920" t="s">
        <v>668</v>
      </c>
      <c r="M920" s="11">
        <v>2026</v>
      </c>
    </row>
    <row r="921" spans="1:13" x14ac:dyDescent="0.3">
      <c r="A921" t="s">
        <v>509</v>
      </c>
      <c r="B921" t="s">
        <v>502</v>
      </c>
      <c r="C921" t="s">
        <v>510</v>
      </c>
      <c r="D921">
        <v>100</v>
      </c>
      <c r="E921" s="23">
        <v>0.93</v>
      </c>
      <c r="F921" s="23">
        <v>93</v>
      </c>
      <c r="G921" s="23">
        <v>1.45</v>
      </c>
      <c r="H921" s="23">
        <v>0</v>
      </c>
      <c r="I921" s="23">
        <v>0</v>
      </c>
      <c r="J921" s="23">
        <v>145</v>
      </c>
      <c r="K921" s="23">
        <v>52</v>
      </c>
      <c r="L921" t="s">
        <v>668</v>
      </c>
      <c r="M921" s="11">
        <v>2026</v>
      </c>
    </row>
    <row r="922" spans="1:13" x14ac:dyDescent="0.3">
      <c r="A922" t="s">
        <v>507</v>
      </c>
      <c r="B922" t="s">
        <v>502</v>
      </c>
      <c r="C922" t="s">
        <v>508</v>
      </c>
      <c r="D922">
        <v>100</v>
      </c>
      <c r="E922" s="23">
        <v>0.93</v>
      </c>
      <c r="F922" s="23">
        <v>93</v>
      </c>
      <c r="G922" s="23">
        <v>1.45</v>
      </c>
      <c r="H922" s="23">
        <v>0</v>
      </c>
      <c r="I922" s="23">
        <v>0</v>
      </c>
      <c r="J922" s="23">
        <v>145</v>
      </c>
      <c r="K922" s="23">
        <v>52</v>
      </c>
      <c r="L922" t="s">
        <v>668</v>
      </c>
      <c r="M922" s="11">
        <v>2026</v>
      </c>
    </row>
    <row r="923" spans="1:13" x14ac:dyDescent="0.3">
      <c r="A923" t="s">
        <v>656</v>
      </c>
      <c r="B923" t="s">
        <v>502</v>
      </c>
      <c r="C923" t="s">
        <v>657</v>
      </c>
      <c r="D923">
        <v>99</v>
      </c>
      <c r="E923" s="23">
        <v>48</v>
      </c>
      <c r="F923" s="24">
        <v>4752</v>
      </c>
      <c r="G923" s="23">
        <v>70.03</v>
      </c>
      <c r="H923" s="23">
        <v>186.76</v>
      </c>
      <c r="I923" s="23">
        <v>0</v>
      </c>
      <c r="J923" s="24">
        <v>6932.69</v>
      </c>
      <c r="K923" s="24">
        <v>2180.69</v>
      </c>
      <c r="L923" t="s">
        <v>668</v>
      </c>
      <c r="M923" s="11">
        <v>2026</v>
      </c>
    </row>
    <row r="924" spans="1:13" x14ac:dyDescent="0.3">
      <c r="A924" t="s">
        <v>529</v>
      </c>
      <c r="B924" t="s">
        <v>502</v>
      </c>
      <c r="C924" t="s">
        <v>530</v>
      </c>
      <c r="D924">
        <v>96</v>
      </c>
      <c r="E924" s="23">
        <v>546.79</v>
      </c>
      <c r="F924" s="24">
        <v>52491.839999999997</v>
      </c>
      <c r="G924" s="23">
        <v>819.53</v>
      </c>
      <c r="H924" s="23">
        <v>630.55999999999995</v>
      </c>
      <c r="I924" s="23">
        <v>650.13</v>
      </c>
      <c r="J924" s="24">
        <v>78674.570000000007</v>
      </c>
      <c r="K924" s="24">
        <v>26182.73</v>
      </c>
      <c r="L924" t="s">
        <v>668</v>
      </c>
      <c r="M924" s="11">
        <v>2026</v>
      </c>
    </row>
    <row r="925" spans="1:13" x14ac:dyDescent="0.3">
      <c r="A925" t="s">
        <v>531</v>
      </c>
      <c r="B925" t="s">
        <v>502</v>
      </c>
      <c r="C925" t="s">
        <v>532</v>
      </c>
      <c r="D925">
        <v>93</v>
      </c>
      <c r="E925" s="23">
        <v>12.19</v>
      </c>
      <c r="F925" s="24">
        <v>1133.67</v>
      </c>
      <c r="G925" s="23">
        <v>12.95</v>
      </c>
      <c r="H925" s="23">
        <v>1.9</v>
      </c>
      <c r="I925" s="23">
        <v>0</v>
      </c>
      <c r="J925" s="24">
        <v>1204.5999999999999</v>
      </c>
      <c r="K925" s="23">
        <v>70.930000000000007</v>
      </c>
      <c r="L925" t="s">
        <v>668</v>
      </c>
      <c r="M925" s="11">
        <v>2026</v>
      </c>
    </row>
    <row r="926" spans="1:13" x14ac:dyDescent="0.3">
      <c r="A926" t="s">
        <v>539</v>
      </c>
      <c r="B926" t="s">
        <v>502</v>
      </c>
      <c r="C926" t="s">
        <v>540</v>
      </c>
      <c r="D926">
        <v>90</v>
      </c>
      <c r="E926" s="23">
        <v>670</v>
      </c>
      <c r="F926" s="24">
        <v>60300</v>
      </c>
      <c r="G926" s="24">
        <v>1074.67</v>
      </c>
      <c r="H926" s="23">
        <v>354.74</v>
      </c>
      <c r="I926" s="23">
        <v>0</v>
      </c>
      <c r="J926" s="24">
        <v>96720.26</v>
      </c>
      <c r="K926" s="24">
        <v>36420.26</v>
      </c>
      <c r="L926" t="s">
        <v>668</v>
      </c>
      <c r="M926" s="11">
        <v>2026</v>
      </c>
    </row>
    <row r="927" spans="1:13" x14ac:dyDescent="0.3">
      <c r="A927" t="s">
        <v>674</v>
      </c>
      <c r="B927" t="s">
        <v>502</v>
      </c>
      <c r="C927" t="s">
        <v>675</v>
      </c>
      <c r="D927">
        <v>90</v>
      </c>
      <c r="E927" s="23">
        <v>500</v>
      </c>
      <c r="F927" s="24">
        <v>45000</v>
      </c>
      <c r="G927" s="23">
        <v>669.33</v>
      </c>
      <c r="H927" s="24">
        <v>2517.69</v>
      </c>
      <c r="I927" s="23">
        <v>9.3800000000000008</v>
      </c>
      <c r="J927" s="24">
        <v>60239.78</v>
      </c>
      <c r="K927" s="24">
        <v>15239.78</v>
      </c>
      <c r="L927" t="s">
        <v>668</v>
      </c>
      <c r="M927" s="11">
        <v>2026</v>
      </c>
    </row>
    <row r="928" spans="1:13" x14ac:dyDescent="0.3">
      <c r="A928" t="s">
        <v>537</v>
      </c>
      <c r="B928" t="s">
        <v>502</v>
      </c>
      <c r="C928" t="s">
        <v>538</v>
      </c>
      <c r="D928">
        <v>87</v>
      </c>
      <c r="E928" s="23">
        <v>25</v>
      </c>
      <c r="F928" s="24">
        <v>2175</v>
      </c>
      <c r="G928" s="23">
        <v>30.28</v>
      </c>
      <c r="H928" s="23">
        <v>0.59</v>
      </c>
      <c r="I928" s="23">
        <v>0</v>
      </c>
      <c r="J928" s="24">
        <v>2634.41</v>
      </c>
      <c r="K928" s="23">
        <v>459.41</v>
      </c>
      <c r="L928" t="s">
        <v>668</v>
      </c>
      <c r="M928" s="11">
        <v>2026</v>
      </c>
    </row>
    <row r="929" spans="1:13" x14ac:dyDescent="0.3">
      <c r="A929" t="s">
        <v>549</v>
      </c>
      <c r="B929" t="s">
        <v>502</v>
      </c>
      <c r="C929" t="s">
        <v>619</v>
      </c>
      <c r="D929">
        <v>83</v>
      </c>
      <c r="E929" s="23">
        <v>42</v>
      </c>
      <c r="F929" s="24">
        <v>3486</v>
      </c>
      <c r="G929" s="23">
        <v>55.33</v>
      </c>
      <c r="H929" s="23">
        <v>337.79</v>
      </c>
      <c r="I929" s="23">
        <v>145.04</v>
      </c>
      <c r="J929" s="24">
        <v>4592.05</v>
      </c>
      <c r="K929" s="24">
        <v>1106.05</v>
      </c>
      <c r="L929" t="s">
        <v>668</v>
      </c>
      <c r="M929" s="11">
        <v>2026</v>
      </c>
    </row>
    <row r="930" spans="1:13" x14ac:dyDescent="0.3">
      <c r="A930" t="s">
        <v>1236</v>
      </c>
      <c r="B930" t="s">
        <v>502</v>
      </c>
      <c r="C930" t="s">
        <v>1232</v>
      </c>
      <c r="D930">
        <v>71</v>
      </c>
      <c r="E930" s="23">
        <v>19</v>
      </c>
      <c r="F930" s="24">
        <v>1349</v>
      </c>
      <c r="G930" s="23">
        <v>69.05</v>
      </c>
      <c r="H930" s="23">
        <v>13.33</v>
      </c>
      <c r="I930" s="23">
        <v>0</v>
      </c>
      <c r="J930" s="24">
        <v>4902.47</v>
      </c>
      <c r="K930" s="24">
        <v>3553.47</v>
      </c>
      <c r="L930" t="s">
        <v>668</v>
      </c>
      <c r="M930" s="11">
        <v>2026</v>
      </c>
    </row>
    <row r="931" spans="1:13" x14ac:dyDescent="0.3">
      <c r="A931" t="s">
        <v>563</v>
      </c>
      <c r="B931" t="s">
        <v>502</v>
      </c>
      <c r="C931" t="s">
        <v>564</v>
      </c>
      <c r="D931">
        <v>43</v>
      </c>
      <c r="E931" s="23">
        <v>45.6</v>
      </c>
      <c r="F931" s="24">
        <v>1960.8</v>
      </c>
      <c r="G931" s="23">
        <v>141.28</v>
      </c>
      <c r="H931" s="23">
        <v>0</v>
      </c>
      <c r="I931" s="23">
        <v>0</v>
      </c>
      <c r="J931" s="24">
        <v>6075</v>
      </c>
      <c r="K931" s="24">
        <v>4114.2</v>
      </c>
      <c r="L931" t="s">
        <v>668</v>
      </c>
      <c r="M931" s="11">
        <v>2026</v>
      </c>
    </row>
    <row r="932" spans="1:13" x14ac:dyDescent="0.3">
      <c r="A932" t="s">
        <v>662</v>
      </c>
      <c r="B932" t="s">
        <v>502</v>
      </c>
      <c r="C932" t="s">
        <v>663</v>
      </c>
      <c r="D932">
        <v>41</v>
      </c>
      <c r="E932" s="23">
        <v>191</v>
      </c>
      <c r="F932" s="24">
        <v>7831</v>
      </c>
      <c r="G932" s="23">
        <v>295.83999999999997</v>
      </c>
      <c r="H932" s="23">
        <v>0</v>
      </c>
      <c r="I932" s="23">
        <v>0</v>
      </c>
      <c r="J932" s="24">
        <v>12129.4</v>
      </c>
      <c r="K932" s="24">
        <v>4298.3999999999996</v>
      </c>
      <c r="L932" t="s">
        <v>668</v>
      </c>
      <c r="M932" s="11">
        <v>2026</v>
      </c>
    </row>
    <row r="933" spans="1:13" x14ac:dyDescent="0.3">
      <c r="A933" t="s">
        <v>557</v>
      </c>
      <c r="B933" t="s">
        <v>502</v>
      </c>
      <c r="C933" t="s">
        <v>558</v>
      </c>
      <c r="D933">
        <v>38</v>
      </c>
      <c r="E933" s="23">
        <v>290</v>
      </c>
      <c r="F933" s="24">
        <v>11020</v>
      </c>
      <c r="G933" s="23">
        <v>460.21</v>
      </c>
      <c r="H933" s="23">
        <v>1.87</v>
      </c>
      <c r="I933" s="23">
        <v>0</v>
      </c>
      <c r="J933" s="24">
        <v>17488.13</v>
      </c>
      <c r="K933" s="24">
        <v>6468.13</v>
      </c>
      <c r="L933" t="s">
        <v>668</v>
      </c>
      <c r="M933" s="11">
        <v>2026</v>
      </c>
    </row>
    <row r="934" spans="1:13" x14ac:dyDescent="0.3">
      <c r="A934" t="s">
        <v>597</v>
      </c>
      <c r="B934" t="s">
        <v>502</v>
      </c>
      <c r="C934" t="s">
        <v>598</v>
      </c>
      <c r="D934">
        <v>37</v>
      </c>
      <c r="E934" s="23">
        <v>0</v>
      </c>
      <c r="F934" s="23">
        <v>0</v>
      </c>
      <c r="G934" s="23">
        <v>111.6</v>
      </c>
      <c r="H934" s="23">
        <v>0.67</v>
      </c>
      <c r="I934" s="23">
        <v>0</v>
      </c>
      <c r="J934" s="24">
        <v>4129.33</v>
      </c>
      <c r="K934" s="24">
        <v>4129.33</v>
      </c>
      <c r="L934" t="s">
        <v>668</v>
      </c>
      <c r="M934" s="11">
        <v>2026</v>
      </c>
    </row>
    <row r="935" spans="1:13" x14ac:dyDescent="0.3">
      <c r="A935" t="s">
        <v>545</v>
      </c>
      <c r="B935" t="s">
        <v>502</v>
      </c>
      <c r="C935" t="s">
        <v>546</v>
      </c>
      <c r="D935">
        <v>37</v>
      </c>
      <c r="E935" s="23">
        <v>25</v>
      </c>
      <c r="F935" s="23">
        <v>925</v>
      </c>
      <c r="G935" s="23">
        <v>117.51</v>
      </c>
      <c r="H935" s="23">
        <v>138.57</v>
      </c>
      <c r="I935" s="23">
        <v>21.63</v>
      </c>
      <c r="J935" s="24">
        <v>4347.9799999999996</v>
      </c>
      <c r="K935" s="24">
        <v>3422.98</v>
      </c>
      <c r="L935" t="s">
        <v>668</v>
      </c>
      <c r="M935" s="11">
        <v>2026</v>
      </c>
    </row>
    <row r="936" spans="1:13" x14ac:dyDescent="0.3">
      <c r="A936" t="s">
        <v>551</v>
      </c>
      <c r="B936" t="s">
        <v>502</v>
      </c>
      <c r="C936" t="s">
        <v>552</v>
      </c>
      <c r="D936">
        <v>33</v>
      </c>
      <c r="E936" s="23">
        <v>45.03</v>
      </c>
      <c r="F936" s="24">
        <v>1485.99</v>
      </c>
      <c r="G936" s="23">
        <v>72.12</v>
      </c>
      <c r="H936" s="23">
        <v>0</v>
      </c>
      <c r="I936" s="23">
        <v>0</v>
      </c>
      <c r="J936" s="24">
        <v>2380</v>
      </c>
      <c r="K936" s="23">
        <v>894.01</v>
      </c>
      <c r="L936" t="s">
        <v>668</v>
      </c>
      <c r="M936" s="11">
        <v>2026</v>
      </c>
    </row>
    <row r="937" spans="1:13" x14ac:dyDescent="0.3">
      <c r="A937" t="s">
        <v>591</v>
      </c>
      <c r="B937" t="s">
        <v>502</v>
      </c>
      <c r="C937" t="s">
        <v>592</v>
      </c>
      <c r="D937">
        <v>30</v>
      </c>
      <c r="E937" s="23">
        <v>33.56</v>
      </c>
      <c r="F937" s="24">
        <v>1006.8</v>
      </c>
      <c r="G937" s="23">
        <v>59.24</v>
      </c>
      <c r="H937" s="23">
        <v>526.57000000000005</v>
      </c>
      <c r="I937" s="23">
        <v>0</v>
      </c>
      <c r="J937" s="24">
        <v>1777.09</v>
      </c>
      <c r="K937" s="23">
        <v>770.29</v>
      </c>
      <c r="L937" t="s">
        <v>668</v>
      </c>
      <c r="M937" s="11">
        <v>2026</v>
      </c>
    </row>
    <row r="938" spans="1:13" x14ac:dyDescent="0.3">
      <c r="A938" t="s">
        <v>555</v>
      </c>
      <c r="B938" t="s">
        <v>502</v>
      </c>
      <c r="C938" t="s">
        <v>556</v>
      </c>
      <c r="D938">
        <v>30</v>
      </c>
      <c r="E938" s="23">
        <v>972.38</v>
      </c>
      <c r="F938" s="24">
        <v>29171.4</v>
      </c>
      <c r="G938" s="24">
        <v>1274.69</v>
      </c>
      <c r="H938" s="23">
        <v>500.53</v>
      </c>
      <c r="I938" s="23">
        <v>331.3</v>
      </c>
      <c r="J938" s="24">
        <v>38240.769999999997</v>
      </c>
      <c r="K938" s="24">
        <v>9069.3700000000008</v>
      </c>
      <c r="L938" t="s">
        <v>668</v>
      </c>
      <c r="M938" s="11">
        <v>2026</v>
      </c>
    </row>
    <row r="939" spans="1:13" x14ac:dyDescent="0.3">
      <c r="A939" t="s">
        <v>1319</v>
      </c>
      <c r="B939" t="s">
        <v>502</v>
      </c>
      <c r="C939" t="s">
        <v>1320</v>
      </c>
      <c r="D939">
        <v>27</v>
      </c>
      <c r="E939" s="23">
        <v>0</v>
      </c>
      <c r="F939" s="23">
        <v>0</v>
      </c>
      <c r="G939" s="23">
        <v>53.3</v>
      </c>
      <c r="H939" s="23">
        <v>0</v>
      </c>
      <c r="I939" s="23">
        <v>89</v>
      </c>
      <c r="J939" s="24">
        <v>1439</v>
      </c>
      <c r="K939" s="24">
        <v>1439</v>
      </c>
      <c r="L939" t="s">
        <v>668</v>
      </c>
      <c r="M939" s="11">
        <v>2026</v>
      </c>
    </row>
    <row r="940" spans="1:13" x14ac:dyDescent="0.3">
      <c r="A940" t="s">
        <v>762</v>
      </c>
      <c r="B940" t="s">
        <v>502</v>
      </c>
      <c r="C940" t="s">
        <v>763</v>
      </c>
      <c r="D940">
        <v>26</v>
      </c>
      <c r="E940" s="23">
        <v>0</v>
      </c>
      <c r="F940" s="23">
        <v>0</v>
      </c>
      <c r="G940" s="23">
        <v>42.98</v>
      </c>
      <c r="H940" s="23">
        <v>537.03</v>
      </c>
      <c r="I940" s="23">
        <v>0</v>
      </c>
      <c r="J940" s="24">
        <v>1117.53</v>
      </c>
      <c r="K940" s="24">
        <v>1117.53</v>
      </c>
      <c r="L940" t="s">
        <v>668</v>
      </c>
      <c r="M940" s="11">
        <v>2026</v>
      </c>
    </row>
    <row r="941" spans="1:13" x14ac:dyDescent="0.3">
      <c r="A941" t="s">
        <v>726</v>
      </c>
      <c r="B941" t="s">
        <v>502</v>
      </c>
      <c r="C941" t="s">
        <v>727</v>
      </c>
      <c r="D941">
        <v>25</v>
      </c>
      <c r="E941" s="23">
        <v>3.5</v>
      </c>
      <c r="F941" s="23">
        <v>87.5</v>
      </c>
      <c r="G941" s="23">
        <v>5.2</v>
      </c>
      <c r="H941" s="23">
        <v>0.02</v>
      </c>
      <c r="I941" s="23">
        <v>4.92</v>
      </c>
      <c r="J941" s="23">
        <v>129.88999999999999</v>
      </c>
      <c r="K941" s="23">
        <v>42.39</v>
      </c>
      <c r="L941" t="s">
        <v>668</v>
      </c>
      <c r="M941" s="11">
        <v>2026</v>
      </c>
    </row>
    <row r="942" spans="1:13" x14ac:dyDescent="0.3">
      <c r="A942" t="s">
        <v>553</v>
      </c>
      <c r="B942" t="s">
        <v>502</v>
      </c>
      <c r="C942" t="s">
        <v>554</v>
      </c>
      <c r="D942">
        <v>21</v>
      </c>
      <c r="E942" s="23">
        <v>680</v>
      </c>
      <c r="F942" s="24">
        <v>14280</v>
      </c>
      <c r="G942" s="24">
        <v>1181.72</v>
      </c>
      <c r="H942" s="23">
        <v>55.98</v>
      </c>
      <c r="I942" s="23">
        <v>0</v>
      </c>
      <c r="J942" s="24">
        <v>24816.02</v>
      </c>
      <c r="K942" s="24">
        <v>10536.02</v>
      </c>
      <c r="L942" t="s">
        <v>668</v>
      </c>
      <c r="M942" s="11">
        <v>2026</v>
      </c>
    </row>
    <row r="943" spans="1:13" x14ac:dyDescent="0.3">
      <c r="A943" t="s">
        <v>571</v>
      </c>
      <c r="B943" t="s">
        <v>502</v>
      </c>
      <c r="C943" t="s">
        <v>572</v>
      </c>
      <c r="D943">
        <v>21</v>
      </c>
      <c r="E943" s="23">
        <v>493.79</v>
      </c>
      <c r="F943" s="24">
        <v>10369.59</v>
      </c>
      <c r="G943" s="23">
        <v>798.7</v>
      </c>
      <c r="H943" s="23">
        <v>77.239999999999995</v>
      </c>
      <c r="I943" s="23">
        <v>0</v>
      </c>
      <c r="J943" s="24">
        <v>16772.759999999998</v>
      </c>
      <c r="K943" s="24">
        <v>6403.17</v>
      </c>
      <c r="L943" t="s">
        <v>668</v>
      </c>
      <c r="M943" s="11">
        <v>2026</v>
      </c>
    </row>
    <row r="944" spans="1:13" x14ac:dyDescent="0.3">
      <c r="A944" t="s">
        <v>502</v>
      </c>
      <c r="B944" t="s">
        <v>502</v>
      </c>
      <c r="C944" t="s">
        <v>1321</v>
      </c>
      <c r="D944">
        <v>21</v>
      </c>
      <c r="E944" s="23">
        <v>0</v>
      </c>
      <c r="F944" s="23">
        <v>0</v>
      </c>
      <c r="G944" s="23">
        <v>0</v>
      </c>
      <c r="H944" s="23">
        <v>0</v>
      </c>
      <c r="I944" s="23">
        <v>0</v>
      </c>
      <c r="J944" s="23">
        <v>0</v>
      </c>
      <c r="K944" s="23">
        <v>0</v>
      </c>
      <c r="L944" t="s">
        <v>668</v>
      </c>
      <c r="M944" s="11">
        <v>2026</v>
      </c>
    </row>
    <row r="945" spans="1:13" x14ac:dyDescent="0.3">
      <c r="A945" t="s">
        <v>565</v>
      </c>
      <c r="B945" t="s">
        <v>502</v>
      </c>
      <c r="C945" t="s">
        <v>566</v>
      </c>
      <c r="D945">
        <v>14</v>
      </c>
      <c r="E945" s="23">
        <v>50</v>
      </c>
      <c r="F945" s="23">
        <v>700</v>
      </c>
      <c r="G945" s="23">
        <v>137.13999999999999</v>
      </c>
      <c r="H945" s="23">
        <v>0</v>
      </c>
      <c r="I945" s="23">
        <v>0</v>
      </c>
      <c r="J945" s="24">
        <v>1920</v>
      </c>
      <c r="K945" s="24">
        <v>1220</v>
      </c>
      <c r="L945" t="s">
        <v>668</v>
      </c>
      <c r="M945" s="11">
        <v>2026</v>
      </c>
    </row>
    <row r="946" spans="1:13" x14ac:dyDescent="0.3">
      <c r="A946" t="s">
        <v>587</v>
      </c>
      <c r="B946" t="s">
        <v>502</v>
      </c>
      <c r="C946" t="s">
        <v>588</v>
      </c>
      <c r="D946">
        <v>14</v>
      </c>
      <c r="E946" s="23">
        <v>700</v>
      </c>
      <c r="F946" s="24">
        <v>9800</v>
      </c>
      <c r="G946" s="24">
        <v>1261.79</v>
      </c>
      <c r="H946" s="23">
        <v>0</v>
      </c>
      <c r="I946" s="23">
        <v>0</v>
      </c>
      <c r="J946" s="24">
        <v>17665</v>
      </c>
      <c r="K946" s="24">
        <v>7865</v>
      </c>
      <c r="L946" t="s">
        <v>668</v>
      </c>
      <c r="M946" s="11">
        <v>2026</v>
      </c>
    </row>
    <row r="947" spans="1:13" x14ac:dyDescent="0.3">
      <c r="A947" t="s">
        <v>1161</v>
      </c>
      <c r="B947" t="s">
        <v>502</v>
      </c>
      <c r="C947" t="s">
        <v>1162</v>
      </c>
      <c r="D947">
        <v>13</v>
      </c>
      <c r="E947" s="23">
        <v>9.2100000000000009</v>
      </c>
      <c r="F947" s="23">
        <v>119.73</v>
      </c>
      <c r="G947" s="23">
        <v>11</v>
      </c>
      <c r="H947" s="23">
        <v>0</v>
      </c>
      <c r="I947" s="23">
        <v>0</v>
      </c>
      <c r="J947" s="23">
        <v>143</v>
      </c>
      <c r="K947" s="23">
        <v>23.27</v>
      </c>
      <c r="L947" t="s">
        <v>668</v>
      </c>
      <c r="M947" s="11">
        <v>2026</v>
      </c>
    </row>
    <row r="948" spans="1:13" x14ac:dyDescent="0.3">
      <c r="A948" t="s">
        <v>622</v>
      </c>
      <c r="B948" t="s">
        <v>502</v>
      </c>
      <c r="C948" t="s">
        <v>623</v>
      </c>
      <c r="D948">
        <v>11</v>
      </c>
      <c r="E948" s="23">
        <v>720</v>
      </c>
      <c r="F948" s="24">
        <v>7920</v>
      </c>
      <c r="G948" s="24">
        <v>1227.73</v>
      </c>
      <c r="H948" s="23">
        <v>0</v>
      </c>
      <c r="I948" s="23">
        <v>0</v>
      </c>
      <c r="J948" s="24">
        <v>13505</v>
      </c>
      <c r="K948" s="24">
        <v>5585</v>
      </c>
      <c r="L948" t="s">
        <v>668</v>
      </c>
      <c r="M948" s="11">
        <v>2026</v>
      </c>
    </row>
    <row r="949" spans="1:13" x14ac:dyDescent="0.3">
      <c r="A949" t="s">
        <v>602</v>
      </c>
      <c r="B949" t="s">
        <v>502</v>
      </c>
      <c r="C949" t="s">
        <v>603</v>
      </c>
      <c r="D949">
        <v>10</v>
      </c>
      <c r="E949" s="23">
        <v>54.43</v>
      </c>
      <c r="F949" s="23">
        <v>544.29999999999995</v>
      </c>
      <c r="G949" s="23">
        <v>63.9</v>
      </c>
      <c r="H949" s="23">
        <v>25</v>
      </c>
      <c r="I949" s="23">
        <v>0</v>
      </c>
      <c r="J949" s="23">
        <v>639</v>
      </c>
      <c r="K949" s="23">
        <v>94.7</v>
      </c>
      <c r="L949" t="s">
        <v>668</v>
      </c>
      <c r="M949" s="11">
        <v>2026</v>
      </c>
    </row>
    <row r="950" spans="1:13" x14ac:dyDescent="0.3">
      <c r="A950" t="s">
        <v>585</v>
      </c>
      <c r="B950" t="s">
        <v>502</v>
      </c>
      <c r="C950" t="s">
        <v>1259</v>
      </c>
      <c r="D950">
        <v>6</v>
      </c>
      <c r="E950" s="24">
        <v>1468.89</v>
      </c>
      <c r="F950" s="24">
        <v>8813.34</v>
      </c>
      <c r="G950" s="24">
        <v>1958.11</v>
      </c>
      <c r="H950" s="23">
        <v>0.75</v>
      </c>
      <c r="I950" s="23">
        <v>149.43</v>
      </c>
      <c r="J950" s="24">
        <v>11748.68</v>
      </c>
      <c r="K950" s="24">
        <v>2935.34</v>
      </c>
      <c r="L950" t="s">
        <v>668</v>
      </c>
      <c r="M950" s="11">
        <v>2026</v>
      </c>
    </row>
    <row r="951" spans="1:13" x14ac:dyDescent="0.3">
      <c r="A951" t="s">
        <v>559</v>
      </c>
      <c r="B951" t="s">
        <v>502</v>
      </c>
      <c r="C951" t="s">
        <v>560</v>
      </c>
      <c r="D951">
        <v>6</v>
      </c>
      <c r="E951" s="23">
        <v>45.6</v>
      </c>
      <c r="F951" s="23">
        <v>273.60000000000002</v>
      </c>
      <c r="G951" s="23">
        <v>70</v>
      </c>
      <c r="H951" s="23">
        <v>0</v>
      </c>
      <c r="I951" s="23">
        <v>0</v>
      </c>
      <c r="J951" s="23">
        <v>420</v>
      </c>
      <c r="K951" s="23">
        <v>146.4</v>
      </c>
      <c r="L951" t="s">
        <v>668</v>
      </c>
      <c r="M951" s="11">
        <v>2026</v>
      </c>
    </row>
    <row r="952" spans="1:13" x14ac:dyDescent="0.3">
      <c r="A952" t="s">
        <v>760</v>
      </c>
      <c r="B952" t="s">
        <v>502</v>
      </c>
      <c r="C952" t="s">
        <v>1322</v>
      </c>
      <c r="D952">
        <v>5</v>
      </c>
      <c r="E952" s="23">
        <v>15.34</v>
      </c>
      <c r="F952" s="23">
        <v>76.7</v>
      </c>
      <c r="G952" s="23">
        <v>13.82</v>
      </c>
      <c r="H952" s="23">
        <v>53.61</v>
      </c>
      <c r="I952" s="23">
        <v>0</v>
      </c>
      <c r="J952" s="23">
        <v>69.099999999999994</v>
      </c>
      <c r="K952" s="23">
        <v>-7.6</v>
      </c>
      <c r="L952" t="s">
        <v>668</v>
      </c>
      <c r="M952" s="11">
        <v>2026</v>
      </c>
    </row>
    <row r="953" spans="1:13" x14ac:dyDescent="0.3">
      <c r="A953" t="s">
        <v>716</v>
      </c>
      <c r="B953" t="s">
        <v>502</v>
      </c>
      <c r="C953" t="s">
        <v>717</v>
      </c>
      <c r="D953">
        <v>4</v>
      </c>
      <c r="E953" s="24">
        <v>1709.25</v>
      </c>
      <c r="F953" s="24">
        <v>6837</v>
      </c>
      <c r="G953" s="24">
        <v>2350</v>
      </c>
      <c r="H953" s="23">
        <v>0</v>
      </c>
      <c r="I953" s="23">
        <v>0</v>
      </c>
      <c r="J953" s="24">
        <v>9400</v>
      </c>
      <c r="K953" s="24">
        <v>2563</v>
      </c>
      <c r="L953" t="s">
        <v>668</v>
      </c>
      <c r="M953" s="11">
        <v>2026</v>
      </c>
    </row>
    <row r="954" spans="1:13" x14ac:dyDescent="0.3">
      <c r="A954" t="s">
        <v>1214</v>
      </c>
      <c r="B954" t="s">
        <v>502</v>
      </c>
      <c r="C954" t="s">
        <v>1215</v>
      </c>
      <c r="D954">
        <v>3</v>
      </c>
      <c r="E954" s="23">
        <v>44.9</v>
      </c>
      <c r="F954" s="23">
        <v>134.69999999999999</v>
      </c>
      <c r="G954" s="23">
        <v>59</v>
      </c>
      <c r="H954" s="23">
        <v>0</v>
      </c>
      <c r="I954" s="23">
        <v>0</v>
      </c>
      <c r="J954" s="23">
        <v>177</v>
      </c>
      <c r="K954" s="23">
        <v>42.3</v>
      </c>
      <c r="L954" t="s">
        <v>668</v>
      </c>
      <c r="M954" s="11">
        <v>2026</v>
      </c>
    </row>
    <row r="955" spans="1:13" x14ac:dyDescent="0.3">
      <c r="A955" t="s">
        <v>605</v>
      </c>
      <c r="B955" t="s">
        <v>502</v>
      </c>
      <c r="C955" t="s">
        <v>606</v>
      </c>
      <c r="D955">
        <v>3</v>
      </c>
      <c r="E955" s="23">
        <v>20</v>
      </c>
      <c r="F955" s="23">
        <v>60</v>
      </c>
      <c r="G955" s="23">
        <v>83.33</v>
      </c>
      <c r="H955" s="23">
        <v>0</v>
      </c>
      <c r="I955" s="23">
        <v>0</v>
      </c>
      <c r="J955" s="23">
        <v>250</v>
      </c>
      <c r="K955" s="23">
        <v>190</v>
      </c>
      <c r="L955" t="s">
        <v>668</v>
      </c>
      <c r="M955" s="11">
        <v>2026</v>
      </c>
    </row>
    <row r="956" spans="1:13" x14ac:dyDescent="0.3">
      <c r="A956" t="s">
        <v>1260</v>
      </c>
      <c r="B956" t="s">
        <v>502</v>
      </c>
      <c r="C956" t="s">
        <v>1261</v>
      </c>
      <c r="D956">
        <v>2</v>
      </c>
      <c r="E956" s="23">
        <v>89.84</v>
      </c>
      <c r="F956" s="23">
        <v>179.68</v>
      </c>
      <c r="G956" s="23">
        <v>227.79</v>
      </c>
      <c r="H956" s="23">
        <v>146.66</v>
      </c>
      <c r="I956" s="23">
        <v>0</v>
      </c>
      <c r="J956" s="23">
        <v>455.58</v>
      </c>
      <c r="K956" s="23">
        <v>275.89999999999998</v>
      </c>
      <c r="L956" t="s">
        <v>668</v>
      </c>
      <c r="M956" s="11">
        <v>2026</v>
      </c>
    </row>
    <row r="957" spans="1:13" x14ac:dyDescent="0.3">
      <c r="A957" t="s">
        <v>1256</v>
      </c>
      <c r="B957" t="s">
        <v>502</v>
      </c>
      <c r="C957" t="s">
        <v>1257</v>
      </c>
      <c r="D957">
        <v>2</v>
      </c>
      <c r="E957" s="23">
        <v>973</v>
      </c>
      <c r="F957" s="24">
        <v>1946</v>
      </c>
      <c r="G957" s="24">
        <v>1650</v>
      </c>
      <c r="H957" s="23">
        <v>0</v>
      </c>
      <c r="I957" s="23">
        <v>0</v>
      </c>
      <c r="J957" s="24">
        <v>3300</v>
      </c>
      <c r="K957" s="24">
        <v>1354</v>
      </c>
      <c r="L957" t="s">
        <v>668</v>
      </c>
      <c r="M957" s="11">
        <v>2026</v>
      </c>
    </row>
    <row r="958" spans="1:13" x14ac:dyDescent="0.3">
      <c r="A958" t="s">
        <v>502</v>
      </c>
      <c r="B958" t="s">
        <v>502</v>
      </c>
      <c r="C958" t="s">
        <v>1323</v>
      </c>
      <c r="D958">
        <v>2</v>
      </c>
      <c r="E958" s="23">
        <v>0</v>
      </c>
      <c r="F958" s="23">
        <v>0</v>
      </c>
      <c r="G958" s="23">
        <v>0</v>
      </c>
      <c r="H958" s="23">
        <v>0</v>
      </c>
      <c r="I958" s="23">
        <v>0</v>
      </c>
      <c r="J958" s="23">
        <v>0</v>
      </c>
      <c r="K958" s="23">
        <v>0</v>
      </c>
      <c r="L958" t="s">
        <v>668</v>
      </c>
      <c r="M958" s="11">
        <v>2026</v>
      </c>
    </row>
    <row r="959" spans="1:13" x14ac:dyDescent="0.3">
      <c r="A959" t="s">
        <v>541</v>
      </c>
      <c r="B959" t="s">
        <v>502</v>
      </c>
      <c r="C959" t="s">
        <v>542</v>
      </c>
      <c r="D959">
        <v>2</v>
      </c>
      <c r="E959" s="23">
        <v>650</v>
      </c>
      <c r="F959" s="24">
        <v>1300</v>
      </c>
      <c r="G959" s="24">
        <v>1125</v>
      </c>
      <c r="H959" s="23">
        <v>0</v>
      </c>
      <c r="I959" s="23">
        <v>0</v>
      </c>
      <c r="J959" s="24">
        <v>2250</v>
      </c>
      <c r="K959" s="23">
        <v>950</v>
      </c>
      <c r="L959" t="s">
        <v>668</v>
      </c>
      <c r="M959" s="11">
        <v>2026</v>
      </c>
    </row>
    <row r="960" spans="1:13" x14ac:dyDescent="0.3">
      <c r="A960" t="s">
        <v>561</v>
      </c>
      <c r="B960" t="s">
        <v>502</v>
      </c>
      <c r="C960" t="s">
        <v>562</v>
      </c>
      <c r="D960">
        <v>2</v>
      </c>
      <c r="E960" s="23">
        <v>5</v>
      </c>
      <c r="F960" s="23">
        <v>10</v>
      </c>
      <c r="G960" s="23">
        <v>8</v>
      </c>
      <c r="H960" s="23">
        <v>0</v>
      </c>
      <c r="I960" s="23">
        <v>0</v>
      </c>
      <c r="J960" s="23">
        <v>16</v>
      </c>
      <c r="K960" s="23">
        <v>6</v>
      </c>
      <c r="L960" t="s">
        <v>668</v>
      </c>
      <c r="M960" s="11">
        <v>2026</v>
      </c>
    </row>
    <row r="961" spans="1:13" x14ac:dyDescent="0.3">
      <c r="A961" t="s">
        <v>614</v>
      </c>
      <c r="B961" t="s">
        <v>502</v>
      </c>
      <c r="C961" t="s">
        <v>615</v>
      </c>
      <c r="D961">
        <v>2</v>
      </c>
      <c r="E961" s="23">
        <v>33.56</v>
      </c>
      <c r="F961" s="23">
        <v>67.12</v>
      </c>
      <c r="G961" s="23">
        <v>235</v>
      </c>
      <c r="H961" s="23">
        <v>0</v>
      </c>
      <c r="I961" s="23">
        <v>0</v>
      </c>
      <c r="J961" s="23">
        <v>470</v>
      </c>
      <c r="K961" s="23">
        <v>402.88</v>
      </c>
      <c r="L961" t="s">
        <v>668</v>
      </c>
      <c r="M961" s="11">
        <v>2026</v>
      </c>
    </row>
    <row r="962" spans="1:13" x14ac:dyDescent="0.3">
      <c r="A962" t="s">
        <v>733</v>
      </c>
      <c r="B962" t="s">
        <v>502</v>
      </c>
      <c r="C962" t="s">
        <v>734</v>
      </c>
      <c r="D962">
        <v>1</v>
      </c>
      <c r="E962" s="23">
        <v>0</v>
      </c>
      <c r="F962" s="23">
        <v>0</v>
      </c>
      <c r="G962" s="23">
        <v>500</v>
      </c>
      <c r="H962" s="23">
        <v>0</v>
      </c>
      <c r="I962" s="23">
        <v>0</v>
      </c>
      <c r="J962" s="23">
        <v>500</v>
      </c>
      <c r="K962" s="23">
        <v>500</v>
      </c>
      <c r="L962" t="s">
        <v>668</v>
      </c>
      <c r="M962" s="11">
        <v>2026</v>
      </c>
    </row>
    <row r="963" spans="1:13" x14ac:dyDescent="0.3">
      <c r="A963" t="s">
        <v>502</v>
      </c>
      <c r="B963" t="s">
        <v>502</v>
      </c>
      <c r="C963" t="s">
        <v>1166</v>
      </c>
      <c r="D963">
        <v>1</v>
      </c>
      <c r="E963" s="23">
        <v>0</v>
      </c>
      <c r="F963" s="23">
        <v>0</v>
      </c>
      <c r="G963" s="23">
        <v>50</v>
      </c>
      <c r="H963" s="23">
        <v>0</v>
      </c>
      <c r="I963" s="23">
        <v>0</v>
      </c>
      <c r="J963" s="23">
        <v>50</v>
      </c>
      <c r="K963" s="23">
        <v>50</v>
      </c>
      <c r="L963" t="s">
        <v>668</v>
      </c>
      <c r="M963" s="11">
        <v>2026</v>
      </c>
    </row>
    <row r="964" spans="1:13" x14ac:dyDescent="0.3">
      <c r="A964" t="s">
        <v>1253</v>
      </c>
      <c r="B964" t="s">
        <v>502</v>
      </c>
      <c r="C964" t="s">
        <v>1254</v>
      </c>
      <c r="D964">
        <v>1</v>
      </c>
      <c r="E964" s="23">
        <v>71.260000000000005</v>
      </c>
      <c r="F964" s="23">
        <v>71.260000000000005</v>
      </c>
      <c r="G964" s="23">
        <v>219.87</v>
      </c>
      <c r="H964" s="23">
        <v>71.77</v>
      </c>
      <c r="I964" s="23">
        <v>0</v>
      </c>
      <c r="J964" s="23">
        <v>219.87</v>
      </c>
      <c r="K964" s="23">
        <v>148.61000000000001</v>
      </c>
      <c r="L964" t="s">
        <v>668</v>
      </c>
      <c r="M964" s="11">
        <v>2026</v>
      </c>
    </row>
    <row r="965" spans="1:13" x14ac:dyDescent="0.3">
      <c r="A965" t="s">
        <v>502</v>
      </c>
      <c r="B965" t="s">
        <v>502</v>
      </c>
      <c r="C965" t="s">
        <v>1324</v>
      </c>
      <c r="D965">
        <v>1</v>
      </c>
      <c r="E965" s="23">
        <v>0</v>
      </c>
      <c r="F965" s="23">
        <v>0</v>
      </c>
      <c r="G965" s="24">
        <v>1200</v>
      </c>
      <c r="H965" s="23">
        <v>0</v>
      </c>
      <c r="I965" s="23">
        <v>0</v>
      </c>
      <c r="J965" s="24">
        <v>1200</v>
      </c>
      <c r="K965" s="24">
        <v>1200</v>
      </c>
      <c r="L965" t="s">
        <v>668</v>
      </c>
      <c r="M965" s="11">
        <v>2026</v>
      </c>
    </row>
    <row r="966" spans="1:13" x14ac:dyDescent="0.3">
      <c r="A966" t="s">
        <v>697</v>
      </c>
      <c r="B966" t="s">
        <v>502</v>
      </c>
      <c r="C966" t="s">
        <v>698</v>
      </c>
      <c r="D966">
        <v>1</v>
      </c>
      <c r="E966" s="23">
        <v>65</v>
      </c>
      <c r="F966" s="23">
        <v>65</v>
      </c>
      <c r="G966" s="23">
        <v>70</v>
      </c>
      <c r="H966" s="23">
        <v>0</v>
      </c>
      <c r="I966" s="23">
        <v>0</v>
      </c>
      <c r="J966" s="23">
        <v>70</v>
      </c>
      <c r="K966" s="23">
        <v>5</v>
      </c>
      <c r="L966" t="s">
        <v>668</v>
      </c>
      <c r="M966" s="11">
        <v>2026</v>
      </c>
    </row>
    <row r="967" spans="1:13" x14ac:dyDescent="0.3">
      <c r="A967" t="s">
        <v>502</v>
      </c>
      <c r="B967" t="s">
        <v>502</v>
      </c>
      <c r="C967" t="s">
        <v>1325</v>
      </c>
      <c r="D967">
        <v>1</v>
      </c>
      <c r="E967" s="23">
        <v>0</v>
      </c>
      <c r="F967" s="23">
        <v>0</v>
      </c>
      <c r="G967" s="23">
        <v>90</v>
      </c>
      <c r="H967" s="23">
        <v>0</v>
      </c>
      <c r="I967" s="23">
        <v>0</v>
      </c>
      <c r="J967" s="23">
        <v>90</v>
      </c>
      <c r="K967" s="23">
        <v>90</v>
      </c>
      <c r="L967" t="s">
        <v>668</v>
      </c>
      <c r="M967" s="11">
        <v>2026</v>
      </c>
    </row>
    <row r="968" spans="1:13" x14ac:dyDescent="0.3">
      <c r="A968" t="s">
        <v>502</v>
      </c>
      <c r="B968" t="s">
        <v>502</v>
      </c>
      <c r="C968" t="s">
        <v>1326</v>
      </c>
      <c r="D968">
        <v>1</v>
      </c>
      <c r="E968" s="23">
        <v>0</v>
      </c>
      <c r="F968" s="23">
        <v>0</v>
      </c>
      <c r="G968" s="23">
        <v>80</v>
      </c>
      <c r="H968" s="23">
        <v>0</v>
      </c>
      <c r="I968" s="23">
        <v>0</v>
      </c>
      <c r="J968" s="23">
        <v>80</v>
      </c>
      <c r="K968" s="23">
        <v>80</v>
      </c>
      <c r="L968" t="s">
        <v>668</v>
      </c>
      <c r="M968" s="11">
        <v>2026</v>
      </c>
    </row>
    <row r="969" spans="1:13" x14ac:dyDescent="0.3">
      <c r="A969" t="s">
        <v>1327</v>
      </c>
      <c r="B969" t="s">
        <v>502</v>
      </c>
      <c r="C969" t="s">
        <v>688</v>
      </c>
      <c r="D969">
        <v>1</v>
      </c>
      <c r="E969" s="23">
        <v>0</v>
      </c>
      <c r="F969" s="23">
        <v>0</v>
      </c>
      <c r="G969" s="23">
        <v>25</v>
      </c>
      <c r="H969" s="23">
        <v>0</v>
      </c>
      <c r="I969" s="23">
        <v>0</v>
      </c>
      <c r="J969" s="23">
        <v>25</v>
      </c>
      <c r="K969" s="23">
        <v>25</v>
      </c>
      <c r="L969" t="s">
        <v>668</v>
      </c>
      <c r="M969" s="11">
        <v>2026</v>
      </c>
    </row>
    <row r="970" spans="1:13" x14ac:dyDescent="0.3">
      <c r="A970" t="s">
        <v>620</v>
      </c>
      <c r="B970" t="s">
        <v>502</v>
      </c>
      <c r="C970" t="s">
        <v>621</v>
      </c>
      <c r="D970">
        <v>1</v>
      </c>
      <c r="E970" s="23">
        <v>41</v>
      </c>
      <c r="F970" s="23">
        <v>41</v>
      </c>
      <c r="G970" s="23">
        <v>55</v>
      </c>
      <c r="H970" s="23">
        <v>0</v>
      </c>
      <c r="I970" s="23">
        <v>0</v>
      </c>
      <c r="J970" s="23">
        <v>55</v>
      </c>
      <c r="K970" s="23">
        <v>14</v>
      </c>
      <c r="L970" t="s">
        <v>668</v>
      </c>
      <c r="M970" s="11">
        <v>2026</v>
      </c>
    </row>
    <row r="971" spans="1:13" x14ac:dyDescent="0.3">
      <c r="A971" t="s">
        <v>1264</v>
      </c>
      <c r="B971" t="s">
        <v>502</v>
      </c>
      <c r="C971" t="s">
        <v>1265</v>
      </c>
      <c r="D971">
        <v>1</v>
      </c>
      <c r="E971" s="23">
        <v>104.84</v>
      </c>
      <c r="F971" s="23">
        <v>104.84</v>
      </c>
      <c r="G971" s="23">
        <v>272.87</v>
      </c>
      <c r="H971" s="23">
        <v>83.45</v>
      </c>
      <c r="I971" s="23">
        <v>0</v>
      </c>
      <c r="J971" s="23">
        <v>272.87</v>
      </c>
      <c r="K971" s="23">
        <v>168.03</v>
      </c>
      <c r="L971" t="s">
        <v>668</v>
      </c>
      <c r="M971" s="11">
        <v>2026</v>
      </c>
    </row>
    <row r="972" spans="1:13" x14ac:dyDescent="0.3">
      <c r="A972" t="s">
        <v>644</v>
      </c>
      <c r="B972" t="s">
        <v>502</v>
      </c>
      <c r="C972" t="s">
        <v>645</v>
      </c>
      <c r="D972">
        <v>1</v>
      </c>
      <c r="E972" s="23">
        <v>0</v>
      </c>
      <c r="F972" s="23">
        <v>0</v>
      </c>
      <c r="G972" s="23">
        <v>150</v>
      </c>
      <c r="H972" s="23">
        <v>0</v>
      </c>
      <c r="I972" s="23">
        <v>0</v>
      </c>
      <c r="J972" s="23">
        <v>150</v>
      </c>
      <c r="K972" s="23">
        <v>150</v>
      </c>
      <c r="L972" t="s">
        <v>668</v>
      </c>
      <c r="M972" s="11">
        <v>2026</v>
      </c>
    </row>
    <row r="973" spans="1:13" x14ac:dyDescent="0.3">
      <c r="A973" t="s">
        <v>502</v>
      </c>
      <c r="B973" t="s">
        <v>502</v>
      </c>
      <c r="C973" t="s">
        <v>1328</v>
      </c>
      <c r="D973">
        <v>1</v>
      </c>
      <c r="E973" s="23">
        <v>0</v>
      </c>
      <c r="F973" s="23">
        <v>0</v>
      </c>
      <c r="G973" s="23">
        <v>800</v>
      </c>
      <c r="H973" s="23">
        <v>0</v>
      </c>
      <c r="I973" s="23">
        <v>0</v>
      </c>
      <c r="J973" s="23">
        <v>800</v>
      </c>
      <c r="K973" s="23">
        <v>800</v>
      </c>
      <c r="L973" t="s">
        <v>668</v>
      </c>
      <c r="M973" s="11">
        <v>2026</v>
      </c>
    </row>
    <row r="974" spans="1:13" x14ac:dyDescent="0.3">
      <c r="A974" t="s">
        <v>1329</v>
      </c>
      <c r="B974" t="s">
        <v>502</v>
      </c>
      <c r="C974" t="s">
        <v>1330</v>
      </c>
      <c r="D974">
        <v>1</v>
      </c>
      <c r="E974" s="24">
        <v>119397.26</v>
      </c>
      <c r="F974" s="24">
        <v>119397.26</v>
      </c>
      <c r="G974" s="24">
        <v>165000</v>
      </c>
      <c r="H974" s="23">
        <v>0</v>
      </c>
      <c r="I974" s="23">
        <v>0</v>
      </c>
      <c r="J974" s="24">
        <v>165000</v>
      </c>
      <c r="K974" s="24">
        <v>45602.74</v>
      </c>
      <c r="L974" t="s">
        <v>668</v>
      </c>
      <c r="M974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topLeftCell="A396" workbookViewId="0">
      <selection activeCell="E410" sqref="E410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2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9"/>
  <sheetViews>
    <sheetView tabSelected="1" topLeftCell="A69" workbookViewId="0">
      <selection activeCell="G44" sqref="G44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  <c r="F42" s="26" t="s">
        <v>1331</v>
      </c>
      <c r="G42" t="s">
        <v>1333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  <c r="F43" s="26" t="s">
        <v>1332</v>
      </c>
      <c r="G43" t="s">
        <v>1301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9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  <row r="192" spans="1:3" x14ac:dyDescent="0.3">
      <c r="A192" s="25" t="s">
        <v>1330</v>
      </c>
      <c r="B192" s="26" t="s">
        <v>1331</v>
      </c>
      <c r="C192" s="26" t="str">
        <f t="shared" si="2"/>
        <v>MAQUINÁRIO</v>
      </c>
    </row>
    <row r="193" spans="1:3" x14ac:dyDescent="0.3">
      <c r="A193" s="25" t="s">
        <v>1320</v>
      </c>
      <c r="B193" s="26" t="s">
        <v>1280</v>
      </c>
      <c r="C193" s="26" t="str">
        <f t="shared" si="2"/>
        <v>ACESSÓRIOS</v>
      </c>
    </row>
    <row r="194" spans="1:3" x14ac:dyDescent="0.3">
      <c r="A194" s="25" t="s">
        <v>1324</v>
      </c>
      <c r="B194" s="26" t="s">
        <v>1269</v>
      </c>
      <c r="C194" s="26" t="str">
        <f t="shared" si="2"/>
        <v>LINHA MOTOR</v>
      </c>
    </row>
    <row r="195" spans="1:3" x14ac:dyDescent="0.3">
      <c r="A195" s="25" t="s">
        <v>1325</v>
      </c>
      <c r="B195" s="26" t="s">
        <v>1332</v>
      </c>
      <c r="C195" s="26" t="str">
        <f t="shared" si="2"/>
        <v>ACESSÓRIOS</v>
      </c>
    </row>
    <row r="196" spans="1:3" x14ac:dyDescent="0.3">
      <c r="A196" s="25" t="s">
        <v>1326</v>
      </c>
      <c r="B196" s="26" t="s">
        <v>1292</v>
      </c>
      <c r="C196" s="26" t="str">
        <f t="shared" si="2"/>
        <v>MÃO DE OBRA</v>
      </c>
    </row>
    <row r="197" spans="1:3" x14ac:dyDescent="0.3">
      <c r="A197" s="25" t="s">
        <v>1322</v>
      </c>
      <c r="B197" s="26" t="s">
        <v>1275</v>
      </c>
      <c r="C197" s="26" t="str">
        <f t="shared" si="2"/>
        <v>ACESSÓRIOS</v>
      </c>
    </row>
    <row r="198" spans="1:3" x14ac:dyDescent="0.3">
      <c r="A198" s="25" t="s">
        <v>1321</v>
      </c>
      <c r="B198" s="26" t="s">
        <v>1287</v>
      </c>
      <c r="C198" s="26" t="str">
        <f t="shared" si="2"/>
        <v>OUTROS</v>
      </c>
    </row>
    <row r="199" spans="1:3" x14ac:dyDescent="0.3">
      <c r="A199" s="25" t="s">
        <v>1323</v>
      </c>
      <c r="B199" s="26" t="s">
        <v>1271</v>
      </c>
      <c r="C199" s="26" t="str">
        <f t="shared" si="2"/>
        <v>LINHA MOTOR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2026-08-05T13:47:15Z</dcterms:modified>
</cp:coreProperties>
</file>
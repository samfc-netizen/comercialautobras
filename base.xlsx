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B2E6AFF2-1435-4882-8E0F-7C4D76B2B7ED}" xr6:coauthVersionLast="47" xr6:coauthVersionMax="47" xr10:uidLastSave="{00000000-0000-0000-0000-000000000000}"/>
  <bookViews>
    <workbookView xWindow="-108" yWindow="-108" windowWidth="23256" windowHeight="12456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545" i="2" l="1"/>
  <c r="C6546" i="2"/>
  <c r="C6547" i="2"/>
  <c r="C6548" i="2"/>
  <c r="C6549" i="2"/>
  <c r="C6550" i="2"/>
  <c r="C6551" i="2"/>
  <c r="C6552" i="2"/>
  <c r="C6553" i="2"/>
  <c r="C6554" i="2"/>
  <c r="C6555" i="2"/>
  <c r="E6555" i="2" s="1"/>
  <c r="C6556" i="2"/>
  <c r="E6556" i="2" s="1"/>
  <c r="C6557" i="2"/>
  <c r="C6558" i="2"/>
  <c r="C6559" i="2"/>
  <c r="C6560" i="2"/>
  <c r="C6561" i="2"/>
  <c r="C6562" i="2"/>
  <c r="C6563" i="2"/>
  <c r="C6564" i="2"/>
  <c r="C6565" i="2"/>
  <c r="C6566" i="2"/>
  <c r="C6567" i="2"/>
  <c r="E6567" i="2" s="1"/>
  <c r="C6568" i="2"/>
  <c r="E6568" i="2" s="1"/>
  <c r="C6569" i="2"/>
  <c r="C6570" i="2"/>
  <c r="C6571" i="2"/>
  <c r="C6572" i="2"/>
  <c r="C6573" i="2"/>
  <c r="C6574" i="2"/>
  <c r="C6575" i="2"/>
  <c r="C6576" i="2"/>
  <c r="C6577" i="2"/>
  <c r="C6578" i="2"/>
  <c r="C6579" i="2"/>
  <c r="E6579" i="2" s="1"/>
  <c r="C6580" i="2"/>
  <c r="E6580" i="2" s="1"/>
  <c r="C6581" i="2"/>
  <c r="C6582" i="2"/>
  <c r="C6583" i="2"/>
  <c r="C6584" i="2"/>
  <c r="C6585" i="2"/>
  <c r="C6586" i="2"/>
  <c r="C6587" i="2"/>
  <c r="C6588" i="2"/>
  <c r="C6589" i="2"/>
  <c r="C6590" i="2"/>
  <c r="C6591" i="2"/>
  <c r="E6591" i="2" s="1"/>
  <c r="C6592" i="2"/>
  <c r="E6592" i="2" s="1"/>
  <c r="C6593" i="2"/>
  <c r="C6594" i="2"/>
  <c r="C6595" i="2"/>
  <c r="C6596" i="2"/>
  <c r="C6597" i="2"/>
  <c r="C6598" i="2"/>
  <c r="C6599" i="2"/>
  <c r="C6600" i="2"/>
  <c r="C6601" i="2"/>
  <c r="C6602" i="2"/>
  <c r="C6603" i="2"/>
  <c r="E6603" i="2" s="1"/>
  <c r="C6604" i="2"/>
  <c r="E6604" i="2" s="1"/>
  <c r="C6605" i="2"/>
  <c r="C6606" i="2"/>
  <c r="C6607" i="2"/>
  <c r="C6608" i="2"/>
  <c r="C6609" i="2"/>
  <c r="C6610" i="2"/>
  <c r="C6611" i="2"/>
  <c r="C6612" i="2"/>
  <c r="C6613" i="2"/>
  <c r="C6614" i="2"/>
  <c r="C6615" i="2"/>
  <c r="E6615" i="2" s="1"/>
  <c r="C6616" i="2"/>
  <c r="E6616" i="2" s="1"/>
  <c r="C6617" i="2"/>
  <c r="C6618" i="2"/>
  <c r="C6619" i="2"/>
  <c r="C6620" i="2"/>
  <c r="C6621" i="2"/>
  <c r="C6622" i="2"/>
  <c r="C6623" i="2"/>
  <c r="C6624" i="2"/>
  <c r="C6625" i="2"/>
  <c r="C6626" i="2"/>
  <c r="C6627" i="2"/>
  <c r="E6627" i="2" s="1"/>
  <c r="C6628" i="2"/>
  <c r="E6628" i="2" s="1"/>
  <c r="C6629" i="2"/>
  <c r="C6630" i="2"/>
  <c r="C6631" i="2"/>
  <c r="C6632" i="2"/>
  <c r="C6633" i="2"/>
  <c r="C6634" i="2"/>
  <c r="C6635" i="2"/>
  <c r="C6636" i="2"/>
  <c r="C6637" i="2"/>
  <c r="C6638" i="2"/>
  <c r="C6639" i="2"/>
  <c r="E6639" i="2" s="1"/>
  <c r="C6640" i="2"/>
  <c r="E6640" i="2" s="1"/>
  <c r="C6641" i="2"/>
  <c r="C6642" i="2"/>
  <c r="C6643" i="2"/>
  <c r="C6644" i="2"/>
  <c r="C6645" i="2"/>
  <c r="C6646" i="2"/>
  <c r="C6647" i="2"/>
  <c r="C6648" i="2"/>
  <c r="C6649" i="2"/>
  <c r="C6650" i="2"/>
  <c r="C6651" i="2"/>
  <c r="E6651" i="2" s="1"/>
  <c r="C6652" i="2"/>
  <c r="E6652" i="2" s="1"/>
  <c r="C6653" i="2"/>
  <c r="C6654" i="2"/>
  <c r="E6654" i="2" s="1"/>
  <c r="C6655" i="2"/>
  <c r="C6656" i="2"/>
  <c r="C6657" i="2"/>
  <c r="C6658" i="2"/>
  <c r="C6659" i="2"/>
  <c r="C6660" i="2"/>
  <c r="C6661" i="2"/>
  <c r="C6662" i="2"/>
  <c r="C6663" i="2"/>
  <c r="E6663" i="2" s="1"/>
  <c r="C6664" i="2"/>
  <c r="E6664" i="2" s="1"/>
  <c r="C6665" i="2"/>
  <c r="C6666" i="2"/>
  <c r="C6667" i="2"/>
  <c r="C6668" i="2"/>
  <c r="C6669" i="2"/>
  <c r="C6670" i="2"/>
  <c r="C6671" i="2"/>
  <c r="C6672" i="2"/>
  <c r="C6673" i="2"/>
  <c r="C6674" i="2"/>
  <c r="C6675" i="2"/>
  <c r="E6675" i="2" s="1"/>
  <c r="C6676" i="2"/>
  <c r="E6676" i="2" s="1"/>
  <c r="C6677" i="2"/>
  <c r="C6678" i="2"/>
  <c r="C6679" i="2"/>
  <c r="C6680" i="2"/>
  <c r="C6681" i="2"/>
  <c r="C6682" i="2"/>
  <c r="C6683" i="2"/>
  <c r="C6684" i="2"/>
  <c r="C6685" i="2"/>
  <c r="C6686" i="2"/>
  <c r="C6687" i="2"/>
  <c r="E6687" i="2" s="1"/>
  <c r="C6688" i="2"/>
  <c r="E6688" i="2" s="1"/>
  <c r="C6689" i="2"/>
  <c r="C6690" i="2"/>
  <c r="C6691" i="2"/>
  <c r="C6692" i="2"/>
  <c r="C6693" i="2"/>
  <c r="C6694" i="2"/>
  <c r="C6695" i="2"/>
  <c r="C6696" i="2"/>
  <c r="C6697" i="2"/>
  <c r="C6698" i="2"/>
  <c r="C6699" i="2"/>
  <c r="E6699" i="2" s="1"/>
  <c r="C6700" i="2"/>
  <c r="E6700" i="2" s="1"/>
  <c r="C6701" i="2"/>
  <c r="C6702" i="2"/>
  <c r="C6703" i="2"/>
  <c r="C6704" i="2"/>
  <c r="C6705" i="2"/>
  <c r="C6706" i="2"/>
  <c r="C6707" i="2"/>
  <c r="C6708" i="2"/>
  <c r="C6709" i="2"/>
  <c r="C6710" i="2"/>
  <c r="C6711" i="2"/>
  <c r="E6711" i="2" s="1"/>
  <c r="C6712" i="2"/>
  <c r="E6712" i="2" s="1"/>
  <c r="C6713" i="2"/>
  <c r="C6714" i="2"/>
  <c r="C6715" i="2"/>
  <c r="C6716" i="2"/>
  <c r="C6717" i="2"/>
  <c r="C6718" i="2"/>
  <c r="C6719" i="2"/>
  <c r="C6720" i="2"/>
  <c r="C6721" i="2"/>
  <c r="E6721" i="2" s="1"/>
  <c r="C6722" i="2"/>
  <c r="C6723" i="2"/>
  <c r="E6723" i="2" s="1"/>
  <c r="C6724" i="2"/>
  <c r="E6724" i="2" s="1"/>
  <c r="C6725" i="2"/>
  <c r="C6726" i="2"/>
  <c r="C6727" i="2"/>
  <c r="C6728" i="2"/>
  <c r="C6729" i="2"/>
  <c r="C6730" i="2"/>
  <c r="C6731" i="2"/>
  <c r="C6732" i="2"/>
  <c r="C6733" i="2"/>
  <c r="C6734" i="2"/>
  <c r="C6735" i="2"/>
  <c r="E6735" i="2" s="1"/>
  <c r="C6736" i="2"/>
  <c r="E6736" i="2" s="1"/>
  <c r="C6737" i="2"/>
  <c r="C6738" i="2"/>
  <c r="C6739" i="2"/>
  <c r="C6740" i="2"/>
  <c r="C6741" i="2"/>
  <c r="C6742" i="2"/>
  <c r="C6743" i="2"/>
  <c r="C6744" i="2"/>
  <c r="C6745" i="2"/>
  <c r="C6746" i="2"/>
  <c r="C6747" i="2"/>
  <c r="E6747" i="2" s="1"/>
  <c r="C6748" i="2"/>
  <c r="E6748" i="2" s="1"/>
  <c r="C6749" i="2"/>
  <c r="C6750" i="2"/>
  <c r="C6751" i="2"/>
  <c r="C6752" i="2"/>
  <c r="C6753" i="2"/>
  <c r="C6754" i="2"/>
  <c r="C6755" i="2"/>
  <c r="C6756" i="2"/>
  <c r="C6757" i="2"/>
  <c r="C6758" i="2"/>
  <c r="C6759" i="2"/>
  <c r="E6759" i="2" s="1"/>
  <c r="C6760" i="2"/>
  <c r="E6760" i="2" s="1"/>
  <c r="C6761" i="2"/>
  <c r="C6762" i="2"/>
  <c r="C6763" i="2"/>
  <c r="C6764" i="2"/>
  <c r="C6765" i="2"/>
  <c r="C6766" i="2"/>
  <c r="C6767" i="2"/>
  <c r="C6768" i="2"/>
  <c r="C6769" i="2"/>
  <c r="C6770" i="2"/>
  <c r="C6771" i="2"/>
  <c r="E6771" i="2" s="1"/>
  <c r="C6772" i="2"/>
  <c r="E6772" i="2" s="1"/>
  <c r="C6773" i="2"/>
  <c r="C6774" i="2"/>
  <c r="C6775" i="2"/>
  <c r="C6776" i="2"/>
  <c r="C6777" i="2"/>
  <c r="C6778" i="2"/>
  <c r="C6779" i="2"/>
  <c r="C6780" i="2"/>
  <c r="C6781" i="2"/>
  <c r="E6781" i="2" s="1"/>
  <c r="C6782" i="2"/>
  <c r="E6782" i="2" s="1"/>
  <c r="C6783" i="2"/>
  <c r="E6783" i="2" s="1"/>
  <c r="C6784" i="2"/>
  <c r="E6784" i="2" s="1"/>
  <c r="C6785" i="2"/>
  <c r="C6786" i="2"/>
  <c r="C6787" i="2"/>
  <c r="C6788" i="2"/>
  <c r="C6789" i="2"/>
  <c r="C6790" i="2"/>
  <c r="C6791" i="2"/>
  <c r="C6792" i="2"/>
  <c r="C6793" i="2"/>
  <c r="C6794" i="2"/>
  <c r="C6795" i="2"/>
  <c r="E6795" i="2" s="1"/>
  <c r="C6796" i="2"/>
  <c r="E6796" i="2" s="1"/>
  <c r="C6797" i="2"/>
  <c r="C6798" i="2"/>
  <c r="C6799" i="2"/>
  <c r="C6800" i="2"/>
  <c r="C6801" i="2"/>
  <c r="C6802" i="2"/>
  <c r="C6803" i="2"/>
  <c r="C6804" i="2"/>
  <c r="C6805" i="2"/>
  <c r="C6806" i="2"/>
  <c r="C6807" i="2"/>
  <c r="E6807" i="2" s="1"/>
  <c r="C6808" i="2"/>
  <c r="E6808" i="2" s="1"/>
  <c r="C6809" i="2"/>
  <c r="C6810" i="2"/>
  <c r="C6811" i="2"/>
  <c r="C6812" i="2"/>
  <c r="C6813" i="2"/>
  <c r="C6814" i="2"/>
  <c r="C6815" i="2"/>
  <c r="C6816" i="2"/>
  <c r="C6817" i="2"/>
  <c r="C6818" i="2"/>
  <c r="C6819" i="2"/>
  <c r="E6819" i="2" s="1"/>
  <c r="C6820" i="2"/>
  <c r="E6820" i="2" s="1"/>
  <c r="C6821" i="2"/>
  <c r="C6822" i="2"/>
  <c r="C6823" i="2"/>
  <c r="C6824" i="2"/>
  <c r="C6825" i="2"/>
  <c r="C6826" i="2"/>
  <c r="C6827" i="2"/>
  <c r="C6828" i="2"/>
  <c r="C6829" i="2"/>
  <c r="C6830" i="2"/>
  <c r="C6831" i="2"/>
  <c r="E6831" i="2" s="1"/>
  <c r="C6832" i="2"/>
  <c r="E6832" i="2" s="1"/>
  <c r="C6833" i="2"/>
  <c r="C6834" i="2"/>
  <c r="C6835" i="2"/>
  <c r="C6836" i="2"/>
  <c r="C6837" i="2"/>
  <c r="C6838" i="2"/>
  <c r="C6839" i="2"/>
  <c r="C6840" i="2"/>
  <c r="C6841" i="2"/>
  <c r="E6841" i="2" s="1"/>
  <c r="C6842" i="2"/>
  <c r="C6843" i="2"/>
  <c r="E6843" i="2" s="1"/>
  <c r="C6844" i="2"/>
  <c r="E6844" i="2" s="1"/>
  <c r="C6845" i="2"/>
  <c r="C6846" i="2"/>
  <c r="C6847" i="2"/>
  <c r="C6848" i="2"/>
  <c r="C6849" i="2"/>
  <c r="C6850" i="2"/>
  <c r="C6851" i="2"/>
  <c r="C6852" i="2"/>
  <c r="C6853" i="2"/>
  <c r="C6854" i="2"/>
  <c r="C6855" i="2"/>
  <c r="E6855" i="2" s="1"/>
  <c r="C6856" i="2"/>
  <c r="E6856" i="2" s="1"/>
  <c r="C6857" i="2"/>
  <c r="C6858" i="2"/>
  <c r="E6858" i="2" s="1"/>
  <c r="C6859" i="2"/>
  <c r="C6860" i="2"/>
  <c r="C6861" i="2"/>
  <c r="C6862" i="2"/>
  <c r="C6863" i="2"/>
  <c r="C6864" i="2"/>
  <c r="C6865" i="2"/>
  <c r="C6866" i="2"/>
  <c r="C6867" i="2"/>
  <c r="E6867" i="2" s="1"/>
  <c r="C6868" i="2"/>
  <c r="E6868" i="2" s="1"/>
  <c r="C6869" i="2"/>
  <c r="C6870" i="2"/>
  <c r="C6871" i="2"/>
  <c r="C6872" i="2"/>
  <c r="C6873" i="2"/>
  <c r="C6874" i="2"/>
  <c r="C6875" i="2"/>
  <c r="C6876" i="2"/>
  <c r="C6877" i="2"/>
  <c r="C6878" i="2"/>
  <c r="C6879" i="2"/>
  <c r="E6879" i="2" s="1"/>
  <c r="C6880" i="2"/>
  <c r="E6880" i="2" s="1"/>
  <c r="C6881" i="2"/>
  <c r="C6882" i="2"/>
  <c r="C6883" i="2"/>
  <c r="C6884" i="2"/>
  <c r="C6885" i="2"/>
  <c r="C6886" i="2"/>
  <c r="C6887" i="2"/>
  <c r="C6888" i="2"/>
  <c r="C6889" i="2"/>
  <c r="C6890" i="2"/>
  <c r="C6891" i="2"/>
  <c r="E6891" i="2" s="1"/>
  <c r="C6892" i="2"/>
  <c r="E6892" i="2" s="1"/>
  <c r="C6893" i="2"/>
  <c r="C6894" i="2"/>
  <c r="C6895" i="2"/>
  <c r="C6896" i="2"/>
  <c r="C6897" i="2"/>
  <c r="C6898" i="2"/>
  <c r="C6899" i="2"/>
  <c r="C6900" i="2"/>
  <c r="C6901" i="2"/>
  <c r="C6902" i="2"/>
  <c r="C6903" i="2"/>
  <c r="E6903" i="2" s="1"/>
  <c r="C6904" i="2"/>
  <c r="E6904" i="2" s="1"/>
  <c r="C6905" i="2"/>
  <c r="C6906" i="2"/>
  <c r="C6907" i="2"/>
  <c r="C6908" i="2"/>
  <c r="C6909" i="2"/>
  <c r="C6910" i="2"/>
  <c r="C6911" i="2"/>
  <c r="C6912" i="2"/>
  <c r="C6913" i="2"/>
  <c r="C6914" i="2"/>
  <c r="C6915" i="2"/>
  <c r="E6915" i="2" s="1"/>
  <c r="C6916" i="2"/>
  <c r="E6916" i="2" s="1"/>
  <c r="C6917" i="2"/>
  <c r="C6918" i="2"/>
  <c r="C6919" i="2"/>
  <c r="C6920" i="2"/>
  <c r="C6921" i="2"/>
  <c r="C6922" i="2"/>
  <c r="C6923" i="2"/>
  <c r="C6924" i="2"/>
  <c r="C6925" i="2"/>
  <c r="C6926" i="2"/>
  <c r="C6927" i="2"/>
  <c r="E6927" i="2" s="1"/>
  <c r="C6928" i="2"/>
  <c r="E6928" i="2" s="1"/>
  <c r="C6929" i="2"/>
  <c r="C6930" i="2"/>
  <c r="C6931" i="2"/>
  <c r="C6932" i="2"/>
  <c r="C6933" i="2"/>
  <c r="C6934" i="2"/>
  <c r="C6935" i="2"/>
  <c r="C6936" i="2"/>
  <c r="C6937" i="2"/>
  <c r="C6938" i="2"/>
  <c r="C6939" i="2"/>
  <c r="E6939" i="2" s="1"/>
  <c r="C6940" i="2"/>
  <c r="E6940" i="2" s="1"/>
  <c r="C6941" i="2"/>
  <c r="C6942" i="2"/>
  <c r="C6943" i="2"/>
  <c r="C6944" i="2"/>
  <c r="C6945" i="2"/>
  <c r="C6946" i="2"/>
  <c r="C6947" i="2"/>
  <c r="C6948" i="2"/>
  <c r="C6949" i="2"/>
  <c r="C6950" i="2"/>
  <c r="C6951" i="2"/>
  <c r="E6951" i="2" s="1"/>
  <c r="C6952" i="2"/>
  <c r="E6952" i="2" s="1"/>
  <c r="C6953" i="2"/>
  <c r="C6954" i="2"/>
  <c r="C6955" i="2"/>
  <c r="C6956" i="2"/>
  <c r="C6957" i="2"/>
  <c r="C6958" i="2"/>
  <c r="C6959" i="2"/>
  <c r="C6960" i="2"/>
  <c r="C6961" i="2"/>
  <c r="C6962" i="2"/>
  <c r="C6963" i="2"/>
  <c r="E6963" i="2" s="1"/>
  <c r="C6964" i="2"/>
  <c r="E6964" i="2" s="1"/>
  <c r="C6965" i="2"/>
  <c r="C6966" i="2"/>
  <c r="C6967" i="2"/>
  <c r="C6968" i="2"/>
  <c r="C6969" i="2"/>
  <c r="C6970" i="2"/>
  <c r="C6971" i="2"/>
  <c r="C6972" i="2"/>
  <c r="C6973" i="2"/>
  <c r="C6974" i="2"/>
  <c r="C6975" i="2"/>
  <c r="E6975" i="2" s="1"/>
  <c r="C6976" i="2"/>
  <c r="E6976" i="2" s="1"/>
  <c r="C6977" i="2"/>
  <c r="C6978" i="2"/>
  <c r="C6979" i="2"/>
  <c r="C6980" i="2"/>
  <c r="C6981" i="2"/>
  <c r="C6982" i="2"/>
  <c r="C6983" i="2"/>
  <c r="C6984" i="2"/>
  <c r="C6985" i="2"/>
  <c r="C6986" i="2"/>
  <c r="C6987" i="2"/>
  <c r="E6987" i="2" s="1"/>
  <c r="C6988" i="2"/>
  <c r="E6988" i="2" s="1"/>
  <c r="C6989" i="2"/>
  <c r="C6990" i="2"/>
  <c r="C6991" i="2"/>
  <c r="C6992" i="2"/>
  <c r="C6993" i="2"/>
  <c r="C6994" i="2"/>
  <c r="C6995" i="2"/>
  <c r="C6996" i="2"/>
  <c r="C6997" i="2"/>
  <c r="C6998" i="2"/>
  <c r="C6999" i="2"/>
  <c r="E6999" i="2" s="1"/>
  <c r="C7000" i="2"/>
  <c r="E7000" i="2" s="1"/>
  <c r="C7001" i="2"/>
  <c r="C7002" i="2"/>
  <c r="C7003" i="2"/>
  <c r="C7004" i="2"/>
  <c r="C7005" i="2"/>
  <c r="C7006" i="2"/>
  <c r="C7007" i="2"/>
  <c r="C7008" i="2"/>
  <c r="C7009" i="2"/>
  <c r="C7010" i="2"/>
  <c r="C7011" i="2"/>
  <c r="E7011" i="2" s="1"/>
  <c r="C7012" i="2"/>
  <c r="E7012" i="2" s="1"/>
  <c r="C7013" i="2"/>
  <c r="C7014" i="2"/>
  <c r="C7015" i="2"/>
  <c r="C7016" i="2"/>
  <c r="C7017" i="2"/>
  <c r="C7018" i="2"/>
  <c r="C7019" i="2"/>
  <c r="C7020" i="2"/>
  <c r="C7021" i="2"/>
  <c r="C7022" i="2"/>
  <c r="E7022" i="2" s="1"/>
  <c r="C7023" i="2"/>
  <c r="E7023" i="2" s="1"/>
  <c r="C7024" i="2"/>
  <c r="E7024" i="2" s="1"/>
  <c r="C7025" i="2"/>
  <c r="C7026" i="2"/>
  <c r="C7027" i="2"/>
  <c r="C7028" i="2"/>
  <c r="C7029" i="2"/>
  <c r="C7030" i="2"/>
  <c r="C7031" i="2"/>
  <c r="C7032" i="2"/>
  <c r="C7033" i="2"/>
  <c r="E7033" i="2" s="1"/>
  <c r="C7034" i="2"/>
  <c r="E7034" i="2" s="1"/>
  <c r="C7035" i="2"/>
  <c r="E7035" i="2" s="1"/>
  <c r="C7036" i="2"/>
  <c r="E7036" i="2" s="1"/>
  <c r="C7037" i="2"/>
  <c r="C7038" i="2"/>
  <c r="C7039" i="2"/>
  <c r="C7040" i="2"/>
  <c r="C7041" i="2"/>
  <c r="C7042" i="2"/>
  <c r="C7043" i="2"/>
  <c r="C7044" i="2"/>
  <c r="C7045" i="2"/>
  <c r="C7046" i="2"/>
  <c r="E7046" i="2" s="1"/>
  <c r="C7047" i="2"/>
  <c r="E7047" i="2" s="1"/>
  <c r="C7048" i="2"/>
  <c r="E7048" i="2" s="1"/>
  <c r="C7049" i="2"/>
  <c r="C7050" i="2"/>
  <c r="C7051" i="2"/>
  <c r="C7052" i="2"/>
  <c r="C7053" i="2"/>
  <c r="C7054" i="2"/>
  <c r="C7055" i="2"/>
  <c r="C7056" i="2"/>
  <c r="C7057" i="2"/>
  <c r="C7058" i="2"/>
  <c r="E7058" i="2" s="1"/>
  <c r="C7059" i="2"/>
  <c r="E7059" i="2" s="1"/>
  <c r="C7060" i="2"/>
  <c r="E7060" i="2" s="1"/>
  <c r="C7061" i="2"/>
  <c r="C7062" i="2"/>
  <c r="C7063" i="2"/>
  <c r="C7064" i="2"/>
  <c r="C7065" i="2"/>
  <c r="C7066" i="2"/>
  <c r="C7067" i="2"/>
  <c r="C7068" i="2"/>
  <c r="C7069" i="2"/>
  <c r="C7070" i="2"/>
  <c r="E7070" i="2" s="1"/>
  <c r="C7071" i="2"/>
  <c r="E7071" i="2" s="1"/>
  <c r="C7072" i="2"/>
  <c r="E7072" i="2" s="1"/>
  <c r="C7073" i="2"/>
  <c r="C7074" i="2"/>
  <c r="C7075" i="2"/>
  <c r="C7076" i="2"/>
  <c r="C7077" i="2"/>
  <c r="C7078" i="2"/>
  <c r="C7079" i="2"/>
  <c r="C7080" i="2"/>
  <c r="C7081" i="2"/>
  <c r="C7082" i="2"/>
  <c r="E7082" i="2" s="1"/>
  <c r="C7083" i="2"/>
  <c r="E7083" i="2" s="1"/>
  <c r="C7084" i="2"/>
  <c r="E7084" i="2" s="1"/>
  <c r="C7085" i="2"/>
  <c r="C7086" i="2"/>
  <c r="C7087" i="2"/>
  <c r="C7088" i="2"/>
  <c r="C7089" i="2"/>
  <c r="C7090" i="2"/>
  <c r="C7091" i="2"/>
  <c r="C7092" i="2"/>
  <c r="C7093" i="2"/>
  <c r="E7093" i="2" s="1"/>
  <c r="C7094" i="2"/>
  <c r="E7094" i="2" s="1"/>
  <c r="C7095" i="2"/>
  <c r="E7095" i="2" s="1"/>
  <c r="C7096" i="2"/>
  <c r="E7096" i="2" s="1"/>
  <c r="C7097" i="2"/>
  <c r="C7098" i="2"/>
  <c r="C7099" i="2"/>
  <c r="C7100" i="2"/>
  <c r="C7101" i="2"/>
  <c r="C7102" i="2"/>
  <c r="C7103" i="2"/>
  <c r="C7104" i="2"/>
  <c r="C7105" i="2"/>
  <c r="C7106" i="2"/>
  <c r="E7106" i="2" s="1"/>
  <c r="C7107" i="2"/>
  <c r="E7107" i="2" s="1"/>
  <c r="C7108" i="2"/>
  <c r="E7108" i="2" s="1"/>
  <c r="C7109" i="2"/>
  <c r="C7110" i="2"/>
  <c r="C7111" i="2"/>
  <c r="C7112" i="2"/>
  <c r="C7113" i="2"/>
  <c r="C7114" i="2"/>
  <c r="C7115" i="2"/>
  <c r="C7116" i="2"/>
  <c r="C7117" i="2"/>
  <c r="C7118" i="2"/>
  <c r="E7118" i="2" s="1"/>
  <c r="C7119" i="2"/>
  <c r="E7119" i="2" s="1"/>
  <c r="C7120" i="2"/>
  <c r="E7120" i="2" s="1"/>
  <c r="C7121" i="2"/>
  <c r="C7122" i="2"/>
  <c r="C7123" i="2"/>
  <c r="C7124" i="2"/>
  <c r="D6545" i="2"/>
  <c r="E6545" i="2" s="1"/>
  <c r="D6546" i="2"/>
  <c r="E6546" i="2" s="1"/>
  <c r="D6547" i="2"/>
  <c r="E6547" i="2" s="1"/>
  <c r="D6548" i="2"/>
  <c r="D6549" i="2"/>
  <c r="D6550" i="2"/>
  <c r="D6551" i="2"/>
  <c r="D6552" i="2"/>
  <c r="D6553" i="2"/>
  <c r="D6554" i="2"/>
  <c r="D6555" i="2"/>
  <c r="D6556" i="2"/>
  <c r="D6557" i="2"/>
  <c r="E6557" i="2" s="1"/>
  <c r="D6558" i="2"/>
  <c r="E6558" i="2" s="1"/>
  <c r="D6559" i="2"/>
  <c r="E6559" i="2" s="1"/>
  <c r="D6560" i="2"/>
  <c r="E6560" i="2" s="1"/>
  <c r="D6561" i="2"/>
  <c r="D6562" i="2"/>
  <c r="D6563" i="2"/>
  <c r="D6564" i="2"/>
  <c r="D6565" i="2"/>
  <c r="D6566" i="2"/>
  <c r="D6567" i="2"/>
  <c r="D6568" i="2"/>
  <c r="D6569" i="2"/>
  <c r="E6569" i="2" s="1"/>
  <c r="D6570" i="2"/>
  <c r="D6571" i="2"/>
  <c r="E6571" i="2" s="1"/>
  <c r="D6572" i="2"/>
  <c r="E6572" i="2" s="1"/>
  <c r="D6573" i="2"/>
  <c r="D6574" i="2"/>
  <c r="D6575" i="2"/>
  <c r="D6576" i="2"/>
  <c r="D6577" i="2"/>
  <c r="D6578" i="2"/>
  <c r="D6579" i="2"/>
  <c r="D6580" i="2"/>
  <c r="D6581" i="2"/>
  <c r="E6581" i="2" s="1"/>
  <c r="D6582" i="2"/>
  <c r="D6583" i="2"/>
  <c r="E6583" i="2" s="1"/>
  <c r="D6584" i="2"/>
  <c r="E6584" i="2" s="1"/>
  <c r="D6585" i="2"/>
  <c r="D6586" i="2"/>
  <c r="D6587" i="2"/>
  <c r="D6588" i="2"/>
  <c r="D6589" i="2"/>
  <c r="D6590" i="2"/>
  <c r="D6591" i="2"/>
  <c r="D6592" i="2"/>
  <c r="D6593" i="2"/>
  <c r="E6593" i="2" s="1"/>
  <c r="D6594" i="2"/>
  <c r="D6595" i="2"/>
  <c r="E6595" i="2" s="1"/>
  <c r="D6596" i="2"/>
  <c r="E6596" i="2" s="1"/>
  <c r="D6597" i="2"/>
  <c r="D6598" i="2"/>
  <c r="D6599" i="2"/>
  <c r="D6600" i="2"/>
  <c r="D6601" i="2"/>
  <c r="D6602" i="2"/>
  <c r="D6603" i="2"/>
  <c r="D6604" i="2"/>
  <c r="D6605" i="2"/>
  <c r="E6605" i="2" s="1"/>
  <c r="D6606" i="2"/>
  <c r="D6607" i="2"/>
  <c r="E6607" i="2" s="1"/>
  <c r="D6608" i="2"/>
  <c r="D6609" i="2"/>
  <c r="D6610" i="2"/>
  <c r="D6611" i="2"/>
  <c r="D6612" i="2"/>
  <c r="D6613" i="2"/>
  <c r="D6614" i="2"/>
  <c r="D6615" i="2"/>
  <c r="D6616" i="2"/>
  <c r="D6617" i="2"/>
  <c r="E6617" i="2" s="1"/>
  <c r="D6618" i="2"/>
  <c r="D6619" i="2"/>
  <c r="E6619" i="2" s="1"/>
  <c r="D6620" i="2"/>
  <c r="E6620" i="2" s="1"/>
  <c r="D6621" i="2"/>
  <c r="D6622" i="2"/>
  <c r="D6623" i="2"/>
  <c r="D6624" i="2"/>
  <c r="D6625" i="2"/>
  <c r="D6626" i="2"/>
  <c r="D6627" i="2"/>
  <c r="D6628" i="2"/>
  <c r="D6629" i="2"/>
  <c r="E6629" i="2" s="1"/>
  <c r="D6630" i="2"/>
  <c r="D6631" i="2"/>
  <c r="E6631" i="2" s="1"/>
  <c r="D6632" i="2"/>
  <c r="E6632" i="2" s="1"/>
  <c r="D6633" i="2"/>
  <c r="D6634" i="2"/>
  <c r="D6635" i="2"/>
  <c r="D6636" i="2"/>
  <c r="D6637" i="2"/>
  <c r="D6638" i="2"/>
  <c r="D6639" i="2"/>
  <c r="D6640" i="2"/>
  <c r="D6641" i="2"/>
  <c r="E6641" i="2" s="1"/>
  <c r="D6642" i="2"/>
  <c r="D6643" i="2"/>
  <c r="E6643" i="2" s="1"/>
  <c r="D6644" i="2"/>
  <c r="E6644" i="2" s="1"/>
  <c r="D6645" i="2"/>
  <c r="D6646" i="2"/>
  <c r="D6647" i="2"/>
  <c r="D6648" i="2"/>
  <c r="D6649" i="2"/>
  <c r="D6650" i="2"/>
  <c r="D6651" i="2"/>
  <c r="D6652" i="2"/>
  <c r="D6653" i="2"/>
  <c r="E6653" i="2" s="1"/>
  <c r="D6654" i="2"/>
  <c r="D6655" i="2"/>
  <c r="E6655" i="2" s="1"/>
  <c r="D6656" i="2"/>
  <c r="E6656" i="2" s="1"/>
  <c r="D6657" i="2"/>
  <c r="D6658" i="2"/>
  <c r="D6659" i="2"/>
  <c r="D6660" i="2"/>
  <c r="D6661" i="2"/>
  <c r="D6662" i="2"/>
  <c r="D6663" i="2"/>
  <c r="D6664" i="2"/>
  <c r="D6665" i="2"/>
  <c r="E6665" i="2" s="1"/>
  <c r="D6666" i="2"/>
  <c r="D6667" i="2"/>
  <c r="E6667" i="2" s="1"/>
  <c r="D6668" i="2"/>
  <c r="E6668" i="2" s="1"/>
  <c r="D6669" i="2"/>
  <c r="D6670" i="2"/>
  <c r="D6671" i="2"/>
  <c r="D6672" i="2"/>
  <c r="D6673" i="2"/>
  <c r="D6674" i="2"/>
  <c r="D6675" i="2"/>
  <c r="D6676" i="2"/>
  <c r="D6677" i="2"/>
  <c r="E6677" i="2" s="1"/>
  <c r="D6678" i="2"/>
  <c r="D6679" i="2"/>
  <c r="E6679" i="2" s="1"/>
  <c r="D6680" i="2"/>
  <c r="E6680" i="2" s="1"/>
  <c r="D6681" i="2"/>
  <c r="D6682" i="2"/>
  <c r="D6683" i="2"/>
  <c r="D6684" i="2"/>
  <c r="D6685" i="2"/>
  <c r="D6686" i="2"/>
  <c r="D6687" i="2"/>
  <c r="D6688" i="2"/>
  <c r="D6689" i="2"/>
  <c r="E6689" i="2" s="1"/>
  <c r="D6690" i="2"/>
  <c r="D6691" i="2"/>
  <c r="E6691" i="2" s="1"/>
  <c r="D6692" i="2"/>
  <c r="E6692" i="2" s="1"/>
  <c r="D6693" i="2"/>
  <c r="D6694" i="2"/>
  <c r="D6695" i="2"/>
  <c r="D6696" i="2"/>
  <c r="D6697" i="2"/>
  <c r="D6698" i="2"/>
  <c r="D6699" i="2"/>
  <c r="D6700" i="2"/>
  <c r="D6701" i="2"/>
  <c r="E6701" i="2" s="1"/>
  <c r="D6702" i="2"/>
  <c r="D6703" i="2"/>
  <c r="E6703" i="2" s="1"/>
  <c r="D6704" i="2"/>
  <c r="E6704" i="2" s="1"/>
  <c r="D6705" i="2"/>
  <c r="D6706" i="2"/>
  <c r="D6707" i="2"/>
  <c r="D6708" i="2"/>
  <c r="D6709" i="2"/>
  <c r="D6710" i="2"/>
  <c r="D6711" i="2"/>
  <c r="D6712" i="2"/>
  <c r="D6713" i="2"/>
  <c r="E6713" i="2" s="1"/>
  <c r="D6714" i="2"/>
  <c r="D6715" i="2"/>
  <c r="E6715" i="2" s="1"/>
  <c r="D6716" i="2"/>
  <c r="E6716" i="2" s="1"/>
  <c r="D6717" i="2"/>
  <c r="D6718" i="2"/>
  <c r="D6719" i="2"/>
  <c r="D6720" i="2"/>
  <c r="D6721" i="2"/>
  <c r="D6722" i="2"/>
  <c r="D6723" i="2"/>
  <c r="D6724" i="2"/>
  <c r="D6725" i="2"/>
  <c r="E6725" i="2" s="1"/>
  <c r="D6726" i="2"/>
  <c r="D6727" i="2"/>
  <c r="E6727" i="2" s="1"/>
  <c r="D6728" i="2"/>
  <c r="E6728" i="2" s="1"/>
  <c r="D6729" i="2"/>
  <c r="D6730" i="2"/>
  <c r="D6731" i="2"/>
  <c r="D6732" i="2"/>
  <c r="D6733" i="2"/>
  <c r="D6734" i="2"/>
  <c r="D6735" i="2"/>
  <c r="D6736" i="2"/>
  <c r="D6737" i="2"/>
  <c r="E6737" i="2" s="1"/>
  <c r="D6738" i="2"/>
  <c r="D6739" i="2"/>
  <c r="E6739" i="2" s="1"/>
  <c r="D6740" i="2"/>
  <c r="E6740" i="2" s="1"/>
  <c r="D6741" i="2"/>
  <c r="D6742" i="2"/>
  <c r="D6743" i="2"/>
  <c r="D6744" i="2"/>
  <c r="D6745" i="2"/>
  <c r="D6746" i="2"/>
  <c r="D6747" i="2"/>
  <c r="D6748" i="2"/>
  <c r="D6749" i="2"/>
  <c r="E6749" i="2" s="1"/>
  <c r="D6750" i="2"/>
  <c r="D6751" i="2"/>
  <c r="E6751" i="2" s="1"/>
  <c r="D6752" i="2"/>
  <c r="E6752" i="2" s="1"/>
  <c r="D6753" i="2"/>
  <c r="D6754" i="2"/>
  <c r="D6755" i="2"/>
  <c r="D6756" i="2"/>
  <c r="D6757" i="2"/>
  <c r="D6758" i="2"/>
  <c r="D6759" i="2"/>
  <c r="D6760" i="2"/>
  <c r="D6761" i="2"/>
  <c r="E6761" i="2" s="1"/>
  <c r="D6762" i="2"/>
  <c r="D6763" i="2"/>
  <c r="E6763" i="2" s="1"/>
  <c r="D6764" i="2"/>
  <c r="E6764" i="2" s="1"/>
  <c r="D6765" i="2"/>
  <c r="D6766" i="2"/>
  <c r="D6767" i="2"/>
  <c r="D6768" i="2"/>
  <c r="D6769" i="2"/>
  <c r="D6770" i="2"/>
  <c r="D6771" i="2"/>
  <c r="D6772" i="2"/>
  <c r="D6773" i="2"/>
  <c r="E6773" i="2" s="1"/>
  <c r="D6774" i="2"/>
  <c r="D6775" i="2"/>
  <c r="E6775" i="2" s="1"/>
  <c r="D6776" i="2"/>
  <c r="E6776" i="2" s="1"/>
  <c r="D6777" i="2"/>
  <c r="D6778" i="2"/>
  <c r="D6779" i="2"/>
  <c r="D6780" i="2"/>
  <c r="D6781" i="2"/>
  <c r="D6782" i="2"/>
  <c r="D6783" i="2"/>
  <c r="D6784" i="2"/>
  <c r="D6785" i="2"/>
  <c r="E6785" i="2" s="1"/>
  <c r="D6786" i="2"/>
  <c r="D6787" i="2"/>
  <c r="E6787" i="2" s="1"/>
  <c r="D6788" i="2"/>
  <c r="E6788" i="2" s="1"/>
  <c r="D6789" i="2"/>
  <c r="D6790" i="2"/>
  <c r="D6791" i="2"/>
  <c r="D6792" i="2"/>
  <c r="D6793" i="2"/>
  <c r="D6794" i="2"/>
  <c r="D6795" i="2"/>
  <c r="D6796" i="2"/>
  <c r="D6797" i="2"/>
  <c r="E6797" i="2" s="1"/>
  <c r="D6798" i="2"/>
  <c r="D6799" i="2"/>
  <c r="E6799" i="2" s="1"/>
  <c r="D6800" i="2"/>
  <c r="D6801" i="2"/>
  <c r="D6802" i="2"/>
  <c r="D6803" i="2"/>
  <c r="D6804" i="2"/>
  <c r="D6805" i="2"/>
  <c r="D6806" i="2"/>
  <c r="D6807" i="2"/>
  <c r="D6808" i="2"/>
  <c r="D6809" i="2"/>
  <c r="E6809" i="2" s="1"/>
  <c r="D6810" i="2"/>
  <c r="D6811" i="2"/>
  <c r="E6811" i="2" s="1"/>
  <c r="D6812" i="2"/>
  <c r="E6812" i="2" s="1"/>
  <c r="D6813" i="2"/>
  <c r="D6814" i="2"/>
  <c r="D6815" i="2"/>
  <c r="D6816" i="2"/>
  <c r="D6817" i="2"/>
  <c r="D6818" i="2"/>
  <c r="D6819" i="2"/>
  <c r="D6820" i="2"/>
  <c r="D6821" i="2"/>
  <c r="E6821" i="2" s="1"/>
  <c r="D6822" i="2"/>
  <c r="D6823" i="2"/>
  <c r="E6823" i="2" s="1"/>
  <c r="D6824" i="2"/>
  <c r="E6824" i="2" s="1"/>
  <c r="D6825" i="2"/>
  <c r="D6826" i="2"/>
  <c r="D6827" i="2"/>
  <c r="D6828" i="2"/>
  <c r="D6829" i="2"/>
  <c r="D6830" i="2"/>
  <c r="D6831" i="2"/>
  <c r="D6832" i="2"/>
  <c r="D6833" i="2"/>
  <c r="E6833" i="2" s="1"/>
  <c r="D6834" i="2"/>
  <c r="D6835" i="2"/>
  <c r="E6835" i="2" s="1"/>
  <c r="D6836" i="2"/>
  <c r="E6836" i="2" s="1"/>
  <c r="D6837" i="2"/>
  <c r="D6838" i="2"/>
  <c r="D6839" i="2"/>
  <c r="D6840" i="2"/>
  <c r="D6841" i="2"/>
  <c r="D6842" i="2"/>
  <c r="D6843" i="2"/>
  <c r="D6844" i="2"/>
  <c r="D6845" i="2"/>
  <c r="E6845" i="2" s="1"/>
  <c r="D6846" i="2"/>
  <c r="D6847" i="2"/>
  <c r="E6847" i="2" s="1"/>
  <c r="D6848" i="2"/>
  <c r="E6848" i="2" s="1"/>
  <c r="D6849" i="2"/>
  <c r="D6850" i="2"/>
  <c r="D6851" i="2"/>
  <c r="D6852" i="2"/>
  <c r="D6853" i="2"/>
  <c r="D6854" i="2"/>
  <c r="D6855" i="2"/>
  <c r="D6856" i="2"/>
  <c r="D6857" i="2"/>
  <c r="E6857" i="2" s="1"/>
  <c r="D6858" i="2"/>
  <c r="D6859" i="2"/>
  <c r="E6859" i="2" s="1"/>
  <c r="D6860" i="2"/>
  <c r="D6861" i="2"/>
  <c r="D6862" i="2"/>
  <c r="D6863" i="2"/>
  <c r="D6864" i="2"/>
  <c r="D6865" i="2"/>
  <c r="D6866" i="2"/>
  <c r="D6867" i="2"/>
  <c r="D6868" i="2"/>
  <c r="D6869" i="2"/>
  <c r="E6869" i="2" s="1"/>
  <c r="D6870" i="2"/>
  <c r="D6871" i="2"/>
  <c r="E6871" i="2" s="1"/>
  <c r="D6872" i="2"/>
  <c r="E6872" i="2" s="1"/>
  <c r="D6873" i="2"/>
  <c r="D6874" i="2"/>
  <c r="D6875" i="2"/>
  <c r="D6876" i="2"/>
  <c r="D6877" i="2"/>
  <c r="D6878" i="2"/>
  <c r="D6879" i="2"/>
  <c r="D6880" i="2"/>
  <c r="D6881" i="2"/>
  <c r="E6881" i="2" s="1"/>
  <c r="D6882" i="2"/>
  <c r="D6883" i="2"/>
  <c r="E6883" i="2" s="1"/>
  <c r="D6884" i="2"/>
  <c r="E6884" i="2" s="1"/>
  <c r="D6885" i="2"/>
  <c r="D6886" i="2"/>
  <c r="D6887" i="2"/>
  <c r="D6888" i="2"/>
  <c r="D6889" i="2"/>
  <c r="D6890" i="2"/>
  <c r="D6891" i="2"/>
  <c r="D6892" i="2"/>
  <c r="D6893" i="2"/>
  <c r="E6893" i="2" s="1"/>
  <c r="D6894" i="2"/>
  <c r="D6895" i="2"/>
  <c r="E6895" i="2" s="1"/>
  <c r="D6896" i="2"/>
  <c r="D6897" i="2"/>
  <c r="D6898" i="2"/>
  <c r="D6899" i="2"/>
  <c r="D6900" i="2"/>
  <c r="D6901" i="2"/>
  <c r="D6902" i="2"/>
  <c r="D6903" i="2"/>
  <c r="D6904" i="2"/>
  <c r="D6905" i="2"/>
  <c r="E6905" i="2" s="1"/>
  <c r="D6906" i="2"/>
  <c r="D6907" i="2"/>
  <c r="E6907" i="2" s="1"/>
  <c r="D6908" i="2"/>
  <c r="E6908" i="2" s="1"/>
  <c r="D6909" i="2"/>
  <c r="D6910" i="2"/>
  <c r="D6911" i="2"/>
  <c r="D6912" i="2"/>
  <c r="D6913" i="2"/>
  <c r="D6914" i="2"/>
  <c r="D6915" i="2"/>
  <c r="D6916" i="2"/>
  <c r="D6917" i="2"/>
  <c r="E6917" i="2" s="1"/>
  <c r="D6918" i="2"/>
  <c r="D6919" i="2"/>
  <c r="E6919" i="2" s="1"/>
  <c r="D6920" i="2"/>
  <c r="E6920" i="2" s="1"/>
  <c r="D6921" i="2"/>
  <c r="D6922" i="2"/>
  <c r="D6923" i="2"/>
  <c r="D6924" i="2"/>
  <c r="D6925" i="2"/>
  <c r="D6926" i="2"/>
  <c r="D6927" i="2"/>
  <c r="D6928" i="2"/>
  <c r="D6929" i="2"/>
  <c r="E6929" i="2" s="1"/>
  <c r="D6930" i="2"/>
  <c r="D6931" i="2"/>
  <c r="E6931" i="2" s="1"/>
  <c r="D6932" i="2"/>
  <c r="E6932" i="2" s="1"/>
  <c r="D6933" i="2"/>
  <c r="D6934" i="2"/>
  <c r="D6935" i="2"/>
  <c r="D6936" i="2"/>
  <c r="D6937" i="2"/>
  <c r="D6938" i="2"/>
  <c r="D6939" i="2"/>
  <c r="D6940" i="2"/>
  <c r="D6941" i="2"/>
  <c r="E6941" i="2" s="1"/>
  <c r="D6942" i="2"/>
  <c r="D6943" i="2"/>
  <c r="E6943" i="2" s="1"/>
  <c r="D6944" i="2"/>
  <c r="E6944" i="2" s="1"/>
  <c r="D6945" i="2"/>
  <c r="D6946" i="2"/>
  <c r="D6947" i="2"/>
  <c r="D6948" i="2"/>
  <c r="D6949" i="2"/>
  <c r="D6950" i="2"/>
  <c r="D6951" i="2"/>
  <c r="D6952" i="2"/>
  <c r="D6953" i="2"/>
  <c r="E6953" i="2" s="1"/>
  <c r="D6954" i="2"/>
  <c r="D6955" i="2"/>
  <c r="E6955" i="2" s="1"/>
  <c r="D6956" i="2"/>
  <c r="E6956" i="2" s="1"/>
  <c r="D6957" i="2"/>
  <c r="D6958" i="2"/>
  <c r="D6959" i="2"/>
  <c r="D6960" i="2"/>
  <c r="D6961" i="2"/>
  <c r="D6962" i="2"/>
  <c r="D6963" i="2"/>
  <c r="D6964" i="2"/>
  <c r="D6965" i="2"/>
  <c r="E6965" i="2" s="1"/>
  <c r="D6966" i="2"/>
  <c r="D6967" i="2"/>
  <c r="E6967" i="2" s="1"/>
  <c r="D6968" i="2"/>
  <c r="E6968" i="2" s="1"/>
  <c r="D6969" i="2"/>
  <c r="D6970" i="2"/>
  <c r="D6971" i="2"/>
  <c r="D6972" i="2"/>
  <c r="D6973" i="2"/>
  <c r="D6974" i="2"/>
  <c r="D6975" i="2"/>
  <c r="D6976" i="2"/>
  <c r="D6977" i="2"/>
  <c r="E6977" i="2" s="1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E6989" i="2" s="1"/>
  <c r="D6990" i="2"/>
  <c r="D6991" i="2"/>
  <c r="E6991" i="2" s="1"/>
  <c r="D6992" i="2"/>
  <c r="E6992" i="2" s="1"/>
  <c r="D6993" i="2"/>
  <c r="D6994" i="2"/>
  <c r="D6995" i="2"/>
  <c r="D6996" i="2"/>
  <c r="D6997" i="2"/>
  <c r="D6998" i="2"/>
  <c r="D6999" i="2"/>
  <c r="D7000" i="2"/>
  <c r="D7001" i="2"/>
  <c r="E7001" i="2" s="1"/>
  <c r="D7002" i="2"/>
  <c r="D7003" i="2"/>
  <c r="E7003" i="2" s="1"/>
  <c r="D7004" i="2"/>
  <c r="E7004" i="2" s="1"/>
  <c r="D7005" i="2"/>
  <c r="D7006" i="2"/>
  <c r="D7007" i="2"/>
  <c r="D7008" i="2"/>
  <c r="D7009" i="2"/>
  <c r="D7010" i="2"/>
  <c r="D7011" i="2"/>
  <c r="D7012" i="2"/>
  <c r="D7013" i="2"/>
  <c r="E7013" i="2" s="1"/>
  <c r="D7014" i="2"/>
  <c r="D7015" i="2"/>
  <c r="E7015" i="2" s="1"/>
  <c r="D7016" i="2"/>
  <c r="E7016" i="2" s="1"/>
  <c r="D7017" i="2"/>
  <c r="D7018" i="2"/>
  <c r="D7019" i="2"/>
  <c r="D7020" i="2"/>
  <c r="D7021" i="2"/>
  <c r="D7022" i="2"/>
  <c r="D7023" i="2"/>
  <c r="D7024" i="2"/>
  <c r="D7025" i="2"/>
  <c r="E7025" i="2" s="1"/>
  <c r="D7026" i="2"/>
  <c r="D7027" i="2"/>
  <c r="E7027" i="2" s="1"/>
  <c r="D7028" i="2"/>
  <c r="E7028" i="2" s="1"/>
  <c r="D7029" i="2"/>
  <c r="D7030" i="2"/>
  <c r="D7031" i="2"/>
  <c r="D7032" i="2"/>
  <c r="D7033" i="2"/>
  <c r="D7034" i="2"/>
  <c r="D7035" i="2"/>
  <c r="D7036" i="2"/>
  <c r="D7037" i="2"/>
  <c r="E7037" i="2" s="1"/>
  <c r="D7038" i="2"/>
  <c r="D7039" i="2"/>
  <c r="E7039" i="2" s="1"/>
  <c r="D7040" i="2"/>
  <c r="D7041" i="2"/>
  <c r="D7042" i="2"/>
  <c r="D7043" i="2"/>
  <c r="D7044" i="2"/>
  <c r="D7045" i="2"/>
  <c r="D7046" i="2"/>
  <c r="D7047" i="2"/>
  <c r="D7048" i="2"/>
  <c r="D7049" i="2"/>
  <c r="E7049" i="2" s="1"/>
  <c r="D7050" i="2"/>
  <c r="D7051" i="2"/>
  <c r="E7051" i="2" s="1"/>
  <c r="D7052" i="2"/>
  <c r="D7053" i="2"/>
  <c r="D7054" i="2"/>
  <c r="D7055" i="2"/>
  <c r="D7056" i="2"/>
  <c r="D7057" i="2"/>
  <c r="D7058" i="2"/>
  <c r="D7059" i="2"/>
  <c r="D7060" i="2"/>
  <c r="D7061" i="2"/>
  <c r="E7061" i="2" s="1"/>
  <c r="D7062" i="2"/>
  <c r="D7063" i="2"/>
  <c r="E7063" i="2" s="1"/>
  <c r="D7064" i="2"/>
  <c r="D7065" i="2"/>
  <c r="D7066" i="2"/>
  <c r="D7067" i="2"/>
  <c r="D7068" i="2"/>
  <c r="D7069" i="2"/>
  <c r="D7070" i="2"/>
  <c r="D7071" i="2"/>
  <c r="D7072" i="2"/>
  <c r="D7073" i="2"/>
  <c r="E7073" i="2" s="1"/>
  <c r="D7074" i="2"/>
  <c r="D7075" i="2"/>
  <c r="E7075" i="2" s="1"/>
  <c r="D7076" i="2"/>
  <c r="D7077" i="2"/>
  <c r="D7078" i="2"/>
  <c r="D7079" i="2"/>
  <c r="D7080" i="2"/>
  <c r="D7081" i="2"/>
  <c r="D7082" i="2"/>
  <c r="D7083" i="2"/>
  <c r="D7084" i="2"/>
  <c r="D7085" i="2"/>
  <c r="E7085" i="2" s="1"/>
  <c r="D7086" i="2"/>
  <c r="D7087" i="2"/>
  <c r="E7087" i="2" s="1"/>
  <c r="D7088" i="2"/>
  <c r="D7089" i="2"/>
  <c r="D7090" i="2"/>
  <c r="D7091" i="2"/>
  <c r="D7092" i="2"/>
  <c r="D7093" i="2"/>
  <c r="D7094" i="2"/>
  <c r="D7095" i="2"/>
  <c r="D7096" i="2"/>
  <c r="D7097" i="2"/>
  <c r="E7097" i="2" s="1"/>
  <c r="D7098" i="2"/>
  <c r="D7099" i="2"/>
  <c r="E7099" i="2" s="1"/>
  <c r="D7100" i="2"/>
  <c r="D7101" i="2"/>
  <c r="D7102" i="2"/>
  <c r="D7103" i="2"/>
  <c r="D7104" i="2"/>
  <c r="D7105" i="2"/>
  <c r="D7106" i="2"/>
  <c r="D7107" i="2"/>
  <c r="D7108" i="2"/>
  <c r="D7109" i="2"/>
  <c r="E7109" i="2" s="1"/>
  <c r="D7110" i="2"/>
  <c r="D7111" i="2"/>
  <c r="E7111" i="2" s="1"/>
  <c r="D7112" i="2"/>
  <c r="D7113" i="2"/>
  <c r="D7114" i="2"/>
  <c r="D7115" i="2"/>
  <c r="D7116" i="2"/>
  <c r="D7117" i="2"/>
  <c r="D7118" i="2"/>
  <c r="D7119" i="2"/>
  <c r="D7120" i="2"/>
  <c r="D7121" i="2"/>
  <c r="E7121" i="2" s="1"/>
  <c r="D7122" i="2"/>
  <c r="D7123" i="2"/>
  <c r="E7123" i="2" s="1"/>
  <c r="D7124" i="2"/>
  <c r="E6548" i="2"/>
  <c r="E6553" i="2"/>
  <c r="E6601" i="2"/>
  <c r="E6661" i="2"/>
  <c r="E6973" i="2"/>
  <c r="E6979" i="2"/>
  <c r="I6545" i="2"/>
  <c r="J6545" i="2" s="1"/>
  <c r="I6546" i="2"/>
  <c r="J6546" i="2" s="1"/>
  <c r="I6547" i="2"/>
  <c r="J6547" i="2" s="1"/>
  <c r="I6548" i="2"/>
  <c r="J6548" i="2" s="1"/>
  <c r="I6549" i="2"/>
  <c r="J6549" i="2" s="1"/>
  <c r="I6550" i="2"/>
  <c r="J6550" i="2" s="1"/>
  <c r="I6551" i="2"/>
  <c r="J6551" i="2" s="1"/>
  <c r="I6552" i="2"/>
  <c r="J6552" i="2" s="1"/>
  <c r="I6553" i="2"/>
  <c r="J6553" i="2" s="1"/>
  <c r="I6554" i="2"/>
  <c r="J6554" i="2" s="1"/>
  <c r="I6555" i="2"/>
  <c r="J6555" i="2" s="1"/>
  <c r="I6556" i="2"/>
  <c r="J6556" i="2" s="1"/>
  <c r="I6557" i="2"/>
  <c r="J6557" i="2" s="1"/>
  <c r="I6558" i="2"/>
  <c r="J6558" i="2" s="1"/>
  <c r="I6559" i="2"/>
  <c r="J6559" i="2" s="1"/>
  <c r="I6560" i="2"/>
  <c r="J6560" i="2" s="1"/>
  <c r="I6561" i="2"/>
  <c r="J6561" i="2" s="1"/>
  <c r="I6562" i="2"/>
  <c r="J6562" i="2" s="1"/>
  <c r="I6563" i="2"/>
  <c r="J6563" i="2" s="1"/>
  <c r="I6564" i="2"/>
  <c r="J6564" i="2" s="1"/>
  <c r="I6565" i="2"/>
  <c r="J6565" i="2" s="1"/>
  <c r="I6566" i="2"/>
  <c r="J6566" i="2" s="1"/>
  <c r="I6567" i="2"/>
  <c r="J6567" i="2" s="1"/>
  <c r="I6568" i="2"/>
  <c r="J6568" i="2" s="1"/>
  <c r="I6569" i="2"/>
  <c r="J6569" i="2" s="1"/>
  <c r="I6570" i="2"/>
  <c r="J6570" i="2" s="1"/>
  <c r="I6571" i="2"/>
  <c r="I6572" i="2"/>
  <c r="J6572" i="2" s="1"/>
  <c r="I6573" i="2"/>
  <c r="J6573" i="2" s="1"/>
  <c r="I6574" i="2"/>
  <c r="J6574" i="2" s="1"/>
  <c r="I6575" i="2"/>
  <c r="J6575" i="2" s="1"/>
  <c r="I6576" i="2"/>
  <c r="J6576" i="2" s="1"/>
  <c r="I6577" i="2"/>
  <c r="J6577" i="2" s="1"/>
  <c r="I6578" i="2"/>
  <c r="J6578" i="2" s="1"/>
  <c r="I6579" i="2"/>
  <c r="J6579" i="2" s="1"/>
  <c r="I6580" i="2"/>
  <c r="J6580" i="2" s="1"/>
  <c r="I6581" i="2"/>
  <c r="J6581" i="2" s="1"/>
  <c r="I6582" i="2"/>
  <c r="J6582" i="2" s="1"/>
  <c r="I6583" i="2"/>
  <c r="J6583" i="2" s="1"/>
  <c r="I6584" i="2"/>
  <c r="J6584" i="2" s="1"/>
  <c r="I6585" i="2"/>
  <c r="I6586" i="2"/>
  <c r="J6586" i="2" s="1"/>
  <c r="I6587" i="2"/>
  <c r="J6587" i="2" s="1"/>
  <c r="I6588" i="2"/>
  <c r="J6588" i="2" s="1"/>
  <c r="I6589" i="2"/>
  <c r="J6589" i="2" s="1"/>
  <c r="I6590" i="2"/>
  <c r="J6590" i="2" s="1"/>
  <c r="I6591" i="2"/>
  <c r="J6591" i="2" s="1"/>
  <c r="I6592" i="2"/>
  <c r="J6592" i="2" s="1"/>
  <c r="I6593" i="2"/>
  <c r="J6593" i="2" s="1"/>
  <c r="I6594" i="2"/>
  <c r="I6595" i="2"/>
  <c r="I6596" i="2"/>
  <c r="J6596" i="2" s="1"/>
  <c r="I6597" i="2"/>
  <c r="J6597" i="2" s="1"/>
  <c r="I6598" i="2"/>
  <c r="J6598" i="2" s="1"/>
  <c r="I6599" i="2"/>
  <c r="J6599" i="2" s="1"/>
  <c r="I6600" i="2"/>
  <c r="J6600" i="2" s="1"/>
  <c r="I6601" i="2"/>
  <c r="J6601" i="2" s="1"/>
  <c r="I6602" i="2"/>
  <c r="J6602" i="2" s="1"/>
  <c r="I6603" i="2"/>
  <c r="J6603" i="2" s="1"/>
  <c r="I6604" i="2"/>
  <c r="J6604" i="2" s="1"/>
  <c r="I6605" i="2"/>
  <c r="J6605" i="2" s="1"/>
  <c r="I6606" i="2"/>
  <c r="J6606" i="2" s="1"/>
  <c r="I6607" i="2"/>
  <c r="J6607" i="2" s="1"/>
  <c r="I6608" i="2"/>
  <c r="J6608" i="2" s="1"/>
  <c r="I6609" i="2"/>
  <c r="J6609" i="2" s="1"/>
  <c r="I6610" i="2"/>
  <c r="J6610" i="2" s="1"/>
  <c r="I6611" i="2"/>
  <c r="J6611" i="2" s="1"/>
  <c r="I6612" i="2"/>
  <c r="J6612" i="2" s="1"/>
  <c r="I6613" i="2"/>
  <c r="J6613" i="2" s="1"/>
  <c r="I6614" i="2"/>
  <c r="J6614" i="2" s="1"/>
  <c r="I6615" i="2"/>
  <c r="J6615" i="2" s="1"/>
  <c r="I6616" i="2"/>
  <c r="J6616" i="2" s="1"/>
  <c r="I6617" i="2"/>
  <c r="J6617" i="2" s="1"/>
  <c r="I6618" i="2"/>
  <c r="I6619" i="2"/>
  <c r="I6620" i="2"/>
  <c r="J6620" i="2" s="1"/>
  <c r="I6621" i="2"/>
  <c r="J6621" i="2" s="1"/>
  <c r="I6622" i="2"/>
  <c r="J6622" i="2" s="1"/>
  <c r="I6623" i="2"/>
  <c r="J6623" i="2" s="1"/>
  <c r="I6624" i="2"/>
  <c r="J6624" i="2" s="1"/>
  <c r="I6625" i="2"/>
  <c r="J6625" i="2" s="1"/>
  <c r="I6626" i="2"/>
  <c r="J6626" i="2" s="1"/>
  <c r="I6627" i="2"/>
  <c r="J6627" i="2" s="1"/>
  <c r="I6628" i="2"/>
  <c r="J6628" i="2" s="1"/>
  <c r="I6629" i="2"/>
  <c r="J6629" i="2" s="1"/>
  <c r="I6630" i="2"/>
  <c r="J6630" i="2" s="1"/>
  <c r="I6631" i="2"/>
  <c r="J6631" i="2" s="1"/>
  <c r="I6632" i="2"/>
  <c r="J6632" i="2" s="1"/>
  <c r="I6633" i="2"/>
  <c r="J6633" i="2" s="1"/>
  <c r="I6634" i="2"/>
  <c r="J6634" i="2" s="1"/>
  <c r="I6635" i="2"/>
  <c r="J6635" i="2" s="1"/>
  <c r="I6636" i="2"/>
  <c r="J6636" i="2" s="1"/>
  <c r="I6637" i="2"/>
  <c r="J6637" i="2" s="1"/>
  <c r="I6638" i="2"/>
  <c r="J6638" i="2" s="1"/>
  <c r="I6639" i="2"/>
  <c r="J6639" i="2" s="1"/>
  <c r="I6640" i="2"/>
  <c r="J6640" i="2" s="1"/>
  <c r="I6641" i="2"/>
  <c r="J6641" i="2" s="1"/>
  <c r="I6642" i="2"/>
  <c r="J6642" i="2" s="1"/>
  <c r="I6643" i="2"/>
  <c r="I6644" i="2"/>
  <c r="J6644" i="2" s="1"/>
  <c r="I6645" i="2"/>
  <c r="J6645" i="2" s="1"/>
  <c r="I6646" i="2"/>
  <c r="J6646" i="2" s="1"/>
  <c r="I6647" i="2"/>
  <c r="J6647" i="2" s="1"/>
  <c r="I6648" i="2"/>
  <c r="J6648" i="2" s="1"/>
  <c r="I6649" i="2"/>
  <c r="J6649" i="2" s="1"/>
  <c r="I6650" i="2"/>
  <c r="J6650" i="2" s="1"/>
  <c r="I6651" i="2"/>
  <c r="J6651" i="2" s="1"/>
  <c r="I6652" i="2"/>
  <c r="J6652" i="2" s="1"/>
  <c r="I6653" i="2"/>
  <c r="J6653" i="2" s="1"/>
  <c r="I6654" i="2"/>
  <c r="J6654" i="2" s="1"/>
  <c r="I6655" i="2"/>
  <c r="I6656" i="2"/>
  <c r="J6656" i="2" s="1"/>
  <c r="I6657" i="2"/>
  <c r="J6657" i="2" s="1"/>
  <c r="I6658" i="2"/>
  <c r="J6658" i="2" s="1"/>
  <c r="I6659" i="2"/>
  <c r="I6660" i="2"/>
  <c r="J6660" i="2" s="1"/>
  <c r="I6661" i="2"/>
  <c r="J6661" i="2" s="1"/>
  <c r="I6662" i="2"/>
  <c r="J6662" i="2" s="1"/>
  <c r="I6663" i="2"/>
  <c r="J6663" i="2" s="1"/>
  <c r="I6664" i="2"/>
  <c r="J6664" i="2" s="1"/>
  <c r="I6665" i="2"/>
  <c r="J6665" i="2" s="1"/>
  <c r="I6666" i="2"/>
  <c r="J6666" i="2" s="1"/>
  <c r="I6667" i="2"/>
  <c r="J6667" i="2" s="1"/>
  <c r="I6668" i="2"/>
  <c r="J6668" i="2" s="1"/>
  <c r="I6669" i="2"/>
  <c r="I6670" i="2"/>
  <c r="J6670" i="2" s="1"/>
  <c r="I6671" i="2"/>
  <c r="J6671" i="2" s="1"/>
  <c r="I6672" i="2"/>
  <c r="J6672" i="2" s="1"/>
  <c r="I6673" i="2"/>
  <c r="J6673" i="2" s="1"/>
  <c r="I6674" i="2"/>
  <c r="J6674" i="2" s="1"/>
  <c r="I6675" i="2"/>
  <c r="J6675" i="2" s="1"/>
  <c r="I6676" i="2"/>
  <c r="J6676" i="2" s="1"/>
  <c r="I6677" i="2"/>
  <c r="J6677" i="2" s="1"/>
  <c r="I6678" i="2"/>
  <c r="J6678" i="2" s="1"/>
  <c r="I6679" i="2"/>
  <c r="I6680" i="2"/>
  <c r="J6680" i="2" s="1"/>
  <c r="I6681" i="2"/>
  <c r="J6681" i="2" s="1"/>
  <c r="I6682" i="2"/>
  <c r="J6682" i="2" s="1"/>
  <c r="I6683" i="2"/>
  <c r="J6683" i="2" s="1"/>
  <c r="I6684" i="2"/>
  <c r="J6684" i="2" s="1"/>
  <c r="I6685" i="2"/>
  <c r="J6685" i="2" s="1"/>
  <c r="I6686" i="2"/>
  <c r="J6686" i="2" s="1"/>
  <c r="I6687" i="2"/>
  <c r="J6687" i="2" s="1"/>
  <c r="I6688" i="2"/>
  <c r="J6688" i="2" s="1"/>
  <c r="I6689" i="2"/>
  <c r="J6689" i="2" s="1"/>
  <c r="I6690" i="2"/>
  <c r="J6690" i="2" s="1"/>
  <c r="I6691" i="2"/>
  <c r="J6691" i="2" s="1"/>
  <c r="I6692" i="2"/>
  <c r="J6692" i="2" s="1"/>
  <c r="I6693" i="2"/>
  <c r="J6693" i="2" s="1"/>
  <c r="I6694" i="2"/>
  <c r="J6694" i="2" s="1"/>
  <c r="I6695" i="2"/>
  <c r="J6695" i="2" s="1"/>
  <c r="I6696" i="2"/>
  <c r="J6696" i="2" s="1"/>
  <c r="I6697" i="2"/>
  <c r="J6697" i="2" s="1"/>
  <c r="I6698" i="2"/>
  <c r="J6698" i="2" s="1"/>
  <c r="I6699" i="2"/>
  <c r="J6699" i="2" s="1"/>
  <c r="I6700" i="2"/>
  <c r="J6700" i="2" s="1"/>
  <c r="I6701" i="2"/>
  <c r="J6701" i="2" s="1"/>
  <c r="I6702" i="2"/>
  <c r="J6702" i="2" s="1"/>
  <c r="I6703" i="2"/>
  <c r="J6703" i="2" s="1"/>
  <c r="I6704" i="2"/>
  <c r="J6704" i="2" s="1"/>
  <c r="I6705" i="2"/>
  <c r="J6705" i="2" s="1"/>
  <c r="I6706" i="2"/>
  <c r="J6706" i="2" s="1"/>
  <c r="I6707" i="2"/>
  <c r="J6707" i="2" s="1"/>
  <c r="I6708" i="2"/>
  <c r="J6708" i="2" s="1"/>
  <c r="I6709" i="2"/>
  <c r="J6709" i="2" s="1"/>
  <c r="I6710" i="2"/>
  <c r="J6710" i="2" s="1"/>
  <c r="I6711" i="2"/>
  <c r="J6711" i="2" s="1"/>
  <c r="I6712" i="2"/>
  <c r="J6712" i="2" s="1"/>
  <c r="I6713" i="2"/>
  <c r="J6713" i="2" s="1"/>
  <c r="I6714" i="2"/>
  <c r="J6714" i="2" s="1"/>
  <c r="I6715" i="2"/>
  <c r="I6716" i="2"/>
  <c r="J6716" i="2" s="1"/>
  <c r="I6717" i="2"/>
  <c r="J6717" i="2" s="1"/>
  <c r="I6718" i="2"/>
  <c r="J6718" i="2" s="1"/>
  <c r="I6719" i="2"/>
  <c r="J6719" i="2" s="1"/>
  <c r="I6720" i="2"/>
  <c r="J6720" i="2" s="1"/>
  <c r="I6721" i="2"/>
  <c r="J6721" i="2" s="1"/>
  <c r="I6722" i="2"/>
  <c r="J6722" i="2" s="1"/>
  <c r="I6723" i="2"/>
  <c r="J6723" i="2" s="1"/>
  <c r="I6724" i="2"/>
  <c r="J6724" i="2" s="1"/>
  <c r="I6725" i="2"/>
  <c r="J6725" i="2" s="1"/>
  <c r="I6726" i="2"/>
  <c r="J6726" i="2" s="1"/>
  <c r="I6727" i="2"/>
  <c r="I6728" i="2"/>
  <c r="J6728" i="2" s="1"/>
  <c r="I6729" i="2"/>
  <c r="J6729" i="2" s="1"/>
  <c r="I6730" i="2"/>
  <c r="J6730" i="2" s="1"/>
  <c r="I6731" i="2"/>
  <c r="J6731" i="2" s="1"/>
  <c r="I6732" i="2"/>
  <c r="J6732" i="2" s="1"/>
  <c r="I6733" i="2"/>
  <c r="J6733" i="2" s="1"/>
  <c r="I6734" i="2"/>
  <c r="J6734" i="2" s="1"/>
  <c r="I6735" i="2"/>
  <c r="J6735" i="2" s="1"/>
  <c r="I6736" i="2"/>
  <c r="J6736" i="2" s="1"/>
  <c r="I6737" i="2"/>
  <c r="J6737" i="2" s="1"/>
  <c r="I6738" i="2"/>
  <c r="I6739" i="2"/>
  <c r="J6739" i="2" s="1"/>
  <c r="I6740" i="2"/>
  <c r="J6740" i="2" s="1"/>
  <c r="I6741" i="2"/>
  <c r="J6741" i="2" s="1"/>
  <c r="I6742" i="2"/>
  <c r="J6742" i="2" s="1"/>
  <c r="I6743" i="2"/>
  <c r="J6743" i="2" s="1"/>
  <c r="I6744" i="2"/>
  <c r="J6744" i="2" s="1"/>
  <c r="I6745" i="2"/>
  <c r="J6745" i="2" s="1"/>
  <c r="I6746" i="2"/>
  <c r="J6746" i="2" s="1"/>
  <c r="I6747" i="2"/>
  <c r="J6747" i="2" s="1"/>
  <c r="I6748" i="2"/>
  <c r="J6748" i="2" s="1"/>
  <c r="I6749" i="2"/>
  <c r="J6749" i="2" s="1"/>
  <c r="I6750" i="2"/>
  <c r="J6750" i="2" s="1"/>
  <c r="I6751" i="2"/>
  <c r="I6752" i="2"/>
  <c r="J6752" i="2" s="1"/>
  <c r="I6753" i="2"/>
  <c r="J6753" i="2" s="1"/>
  <c r="I6754" i="2"/>
  <c r="J6754" i="2" s="1"/>
  <c r="I6755" i="2"/>
  <c r="J6755" i="2" s="1"/>
  <c r="I6756" i="2"/>
  <c r="J6756" i="2" s="1"/>
  <c r="I6757" i="2"/>
  <c r="J6757" i="2" s="1"/>
  <c r="I6758" i="2"/>
  <c r="J6758" i="2" s="1"/>
  <c r="I6759" i="2"/>
  <c r="J6759" i="2" s="1"/>
  <c r="I6760" i="2"/>
  <c r="J6760" i="2" s="1"/>
  <c r="I6761" i="2"/>
  <c r="J6761" i="2" s="1"/>
  <c r="I6762" i="2"/>
  <c r="I6763" i="2"/>
  <c r="I6764" i="2"/>
  <c r="J6764" i="2" s="1"/>
  <c r="I6765" i="2"/>
  <c r="J6765" i="2" s="1"/>
  <c r="I6766" i="2"/>
  <c r="J6766" i="2" s="1"/>
  <c r="I6767" i="2"/>
  <c r="J6767" i="2" s="1"/>
  <c r="I6768" i="2"/>
  <c r="J6768" i="2" s="1"/>
  <c r="I6769" i="2"/>
  <c r="J6769" i="2" s="1"/>
  <c r="I6770" i="2"/>
  <c r="J6770" i="2" s="1"/>
  <c r="I6771" i="2"/>
  <c r="J6771" i="2" s="1"/>
  <c r="I6772" i="2"/>
  <c r="J6772" i="2" s="1"/>
  <c r="I6773" i="2"/>
  <c r="J6773" i="2" s="1"/>
  <c r="I6774" i="2"/>
  <c r="J6774" i="2" s="1"/>
  <c r="I6775" i="2"/>
  <c r="J6775" i="2" s="1"/>
  <c r="I6776" i="2"/>
  <c r="J6776" i="2" s="1"/>
  <c r="I6777" i="2"/>
  <c r="J6777" i="2" s="1"/>
  <c r="I6778" i="2"/>
  <c r="J6778" i="2" s="1"/>
  <c r="I6779" i="2"/>
  <c r="J6779" i="2" s="1"/>
  <c r="I6780" i="2"/>
  <c r="J6780" i="2" s="1"/>
  <c r="I6781" i="2"/>
  <c r="J6781" i="2" s="1"/>
  <c r="I6782" i="2"/>
  <c r="J6782" i="2" s="1"/>
  <c r="I6783" i="2"/>
  <c r="J6783" i="2" s="1"/>
  <c r="I6784" i="2"/>
  <c r="J6784" i="2" s="1"/>
  <c r="I6785" i="2"/>
  <c r="J6785" i="2" s="1"/>
  <c r="I6786" i="2"/>
  <c r="J6786" i="2" s="1"/>
  <c r="I6787" i="2"/>
  <c r="I6788" i="2"/>
  <c r="J6788" i="2" s="1"/>
  <c r="I6789" i="2"/>
  <c r="J6789" i="2" s="1"/>
  <c r="I6790" i="2"/>
  <c r="J6790" i="2" s="1"/>
  <c r="I6791" i="2"/>
  <c r="J6791" i="2" s="1"/>
  <c r="I6792" i="2"/>
  <c r="J6792" i="2" s="1"/>
  <c r="I6793" i="2"/>
  <c r="J6793" i="2" s="1"/>
  <c r="I6794" i="2"/>
  <c r="J6794" i="2" s="1"/>
  <c r="I6795" i="2"/>
  <c r="J6795" i="2" s="1"/>
  <c r="I6796" i="2"/>
  <c r="J6796" i="2" s="1"/>
  <c r="I6797" i="2"/>
  <c r="J6797" i="2" s="1"/>
  <c r="I6798" i="2"/>
  <c r="J6798" i="2" s="1"/>
  <c r="I6799" i="2"/>
  <c r="J6799" i="2" s="1"/>
  <c r="I6800" i="2"/>
  <c r="J6800" i="2" s="1"/>
  <c r="I6801" i="2"/>
  <c r="J6801" i="2" s="1"/>
  <c r="I6802" i="2"/>
  <c r="J6802" i="2" s="1"/>
  <c r="I6803" i="2"/>
  <c r="J6803" i="2" s="1"/>
  <c r="I6804" i="2"/>
  <c r="J6804" i="2" s="1"/>
  <c r="I6805" i="2"/>
  <c r="J6805" i="2" s="1"/>
  <c r="I6806" i="2"/>
  <c r="J6806" i="2" s="1"/>
  <c r="I6807" i="2"/>
  <c r="J6807" i="2" s="1"/>
  <c r="I6808" i="2"/>
  <c r="J6808" i="2" s="1"/>
  <c r="I6809" i="2"/>
  <c r="J6809" i="2" s="1"/>
  <c r="I6810" i="2"/>
  <c r="J6810" i="2" s="1"/>
  <c r="I6811" i="2"/>
  <c r="J6811" i="2" s="1"/>
  <c r="I6812" i="2"/>
  <c r="J6812" i="2" s="1"/>
  <c r="I6813" i="2"/>
  <c r="I6814" i="2"/>
  <c r="J6814" i="2" s="1"/>
  <c r="I6815" i="2"/>
  <c r="J6815" i="2" s="1"/>
  <c r="I6816" i="2"/>
  <c r="J6816" i="2" s="1"/>
  <c r="I6817" i="2"/>
  <c r="J6817" i="2" s="1"/>
  <c r="I6818" i="2"/>
  <c r="J6818" i="2" s="1"/>
  <c r="I6819" i="2"/>
  <c r="J6819" i="2" s="1"/>
  <c r="I6820" i="2"/>
  <c r="J6820" i="2" s="1"/>
  <c r="I6821" i="2"/>
  <c r="J6821" i="2" s="1"/>
  <c r="I6822" i="2"/>
  <c r="I6823" i="2"/>
  <c r="I6824" i="2"/>
  <c r="J6824" i="2" s="1"/>
  <c r="I6825" i="2"/>
  <c r="J6825" i="2" s="1"/>
  <c r="I6826" i="2"/>
  <c r="J6826" i="2" s="1"/>
  <c r="I6827" i="2"/>
  <c r="J6827" i="2" s="1"/>
  <c r="I6828" i="2"/>
  <c r="J6828" i="2" s="1"/>
  <c r="I6829" i="2"/>
  <c r="J6829" i="2" s="1"/>
  <c r="I6830" i="2"/>
  <c r="J6830" i="2" s="1"/>
  <c r="I6831" i="2"/>
  <c r="J6831" i="2" s="1"/>
  <c r="I6832" i="2"/>
  <c r="J6832" i="2" s="1"/>
  <c r="I6833" i="2"/>
  <c r="J6833" i="2" s="1"/>
  <c r="I6834" i="2"/>
  <c r="J6834" i="2" s="1"/>
  <c r="I6835" i="2"/>
  <c r="I6836" i="2"/>
  <c r="J6836" i="2" s="1"/>
  <c r="I6837" i="2"/>
  <c r="J6837" i="2" s="1"/>
  <c r="I6838" i="2"/>
  <c r="J6838" i="2" s="1"/>
  <c r="I6839" i="2"/>
  <c r="J6839" i="2" s="1"/>
  <c r="I6840" i="2"/>
  <c r="J6840" i="2" s="1"/>
  <c r="I6841" i="2"/>
  <c r="J6841" i="2" s="1"/>
  <c r="I6842" i="2"/>
  <c r="J6842" i="2" s="1"/>
  <c r="I6843" i="2"/>
  <c r="J6843" i="2" s="1"/>
  <c r="I6844" i="2"/>
  <c r="J6844" i="2" s="1"/>
  <c r="I6845" i="2"/>
  <c r="J6845" i="2" s="1"/>
  <c r="I6846" i="2"/>
  <c r="J6846" i="2" s="1"/>
  <c r="I6847" i="2"/>
  <c r="J6847" i="2" s="1"/>
  <c r="I6848" i="2"/>
  <c r="J6848" i="2" s="1"/>
  <c r="I6849" i="2"/>
  <c r="J6849" i="2" s="1"/>
  <c r="I6850" i="2"/>
  <c r="J6850" i="2" s="1"/>
  <c r="I6851" i="2"/>
  <c r="J6851" i="2" s="1"/>
  <c r="I6852" i="2"/>
  <c r="J6852" i="2" s="1"/>
  <c r="I6853" i="2"/>
  <c r="J6853" i="2" s="1"/>
  <c r="I6854" i="2"/>
  <c r="J6854" i="2" s="1"/>
  <c r="I6855" i="2"/>
  <c r="J6855" i="2" s="1"/>
  <c r="I6856" i="2"/>
  <c r="J6856" i="2" s="1"/>
  <c r="I6857" i="2"/>
  <c r="J6857" i="2" s="1"/>
  <c r="I6858" i="2"/>
  <c r="J6858" i="2" s="1"/>
  <c r="I6859" i="2"/>
  <c r="J6859" i="2" s="1"/>
  <c r="I6860" i="2"/>
  <c r="J6860" i="2" s="1"/>
  <c r="I6861" i="2"/>
  <c r="J6861" i="2" s="1"/>
  <c r="I6862" i="2"/>
  <c r="J6862" i="2" s="1"/>
  <c r="I6863" i="2"/>
  <c r="J6863" i="2" s="1"/>
  <c r="I6864" i="2"/>
  <c r="J6864" i="2" s="1"/>
  <c r="I6865" i="2"/>
  <c r="J6865" i="2" s="1"/>
  <c r="I6866" i="2"/>
  <c r="J6866" i="2" s="1"/>
  <c r="I6867" i="2"/>
  <c r="J6867" i="2" s="1"/>
  <c r="I6868" i="2"/>
  <c r="J6868" i="2" s="1"/>
  <c r="I6869" i="2"/>
  <c r="J6869" i="2" s="1"/>
  <c r="I6870" i="2"/>
  <c r="J6870" i="2" s="1"/>
  <c r="I6871" i="2"/>
  <c r="J6871" i="2" s="1"/>
  <c r="I6872" i="2"/>
  <c r="J6872" i="2" s="1"/>
  <c r="I6873" i="2"/>
  <c r="I6874" i="2"/>
  <c r="J6874" i="2" s="1"/>
  <c r="I6875" i="2"/>
  <c r="J6875" i="2" s="1"/>
  <c r="I6876" i="2"/>
  <c r="J6876" i="2" s="1"/>
  <c r="I6877" i="2"/>
  <c r="J6877" i="2" s="1"/>
  <c r="I6878" i="2"/>
  <c r="J6878" i="2" s="1"/>
  <c r="I6879" i="2"/>
  <c r="J6879" i="2" s="1"/>
  <c r="I6880" i="2"/>
  <c r="J6880" i="2" s="1"/>
  <c r="I6881" i="2"/>
  <c r="J6881" i="2" s="1"/>
  <c r="I6882" i="2"/>
  <c r="J6882" i="2" s="1"/>
  <c r="I6883" i="2"/>
  <c r="I6884" i="2"/>
  <c r="J6884" i="2" s="1"/>
  <c r="I6885" i="2"/>
  <c r="J6885" i="2" s="1"/>
  <c r="I6886" i="2"/>
  <c r="J6886" i="2" s="1"/>
  <c r="I6887" i="2"/>
  <c r="J6887" i="2" s="1"/>
  <c r="I6888" i="2"/>
  <c r="J6888" i="2" s="1"/>
  <c r="I6889" i="2"/>
  <c r="J6889" i="2" s="1"/>
  <c r="I6890" i="2"/>
  <c r="J6890" i="2" s="1"/>
  <c r="I6891" i="2"/>
  <c r="J6891" i="2" s="1"/>
  <c r="I6892" i="2"/>
  <c r="J6892" i="2" s="1"/>
  <c r="I6893" i="2"/>
  <c r="J6893" i="2" s="1"/>
  <c r="I6894" i="2"/>
  <c r="I6895" i="2"/>
  <c r="J6895" i="2" s="1"/>
  <c r="I6896" i="2"/>
  <c r="J6896" i="2" s="1"/>
  <c r="I6897" i="2"/>
  <c r="J6897" i="2" s="1"/>
  <c r="I6898" i="2"/>
  <c r="J6898" i="2" s="1"/>
  <c r="I6899" i="2"/>
  <c r="J6899" i="2" s="1"/>
  <c r="I6900" i="2"/>
  <c r="J6900" i="2" s="1"/>
  <c r="I6901" i="2"/>
  <c r="J6901" i="2" s="1"/>
  <c r="I6902" i="2"/>
  <c r="J6902" i="2" s="1"/>
  <c r="I6903" i="2"/>
  <c r="J6903" i="2" s="1"/>
  <c r="I6904" i="2"/>
  <c r="J6904" i="2" s="1"/>
  <c r="I6905" i="2"/>
  <c r="J6905" i="2" s="1"/>
  <c r="I6906" i="2"/>
  <c r="J6906" i="2" s="1"/>
  <c r="I6907" i="2"/>
  <c r="I6908" i="2"/>
  <c r="J6908" i="2" s="1"/>
  <c r="I6909" i="2"/>
  <c r="J6909" i="2" s="1"/>
  <c r="I6910" i="2"/>
  <c r="J6910" i="2" s="1"/>
  <c r="I6911" i="2"/>
  <c r="J6911" i="2" s="1"/>
  <c r="I6912" i="2"/>
  <c r="J6912" i="2" s="1"/>
  <c r="I6913" i="2"/>
  <c r="J6913" i="2" s="1"/>
  <c r="I6914" i="2"/>
  <c r="J6914" i="2" s="1"/>
  <c r="I6915" i="2"/>
  <c r="J6915" i="2" s="1"/>
  <c r="I6916" i="2"/>
  <c r="J6916" i="2" s="1"/>
  <c r="I6917" i="2"/>
  <c r="J6917" i="2" s="1"/>
  <c r="I6918" i="2"/>
  <c r="I6919" i="2"/>
  <c r="I6920" i="2"/>
  <c r="J6920" i="2" s="1"/>
  <c r="I6921" i="2"/>
  <c r="J6921" i="2" s="1"/>
  <c r="I6922" i="2"/>
  <c r="J6922" i="2" s="1"/>
  <c r="I6923" i="2"/>
  <c r="J6923" i="2" s="1"/>
  <c r="I6924" i="2"/>
  <c r="J6924" i="2" s="1"/>
  <c r="I6925" i="2"/>
  <c r="J6925" i="2" s="1"/>
  <c r="I6926" i="2"/>
  <c r="J6926" i="2" s="1"/>
  <c r="I6927" i="2"/>
  <c r="J6927" i="2" s="1"/>
  <c r="I6928" i="2"/>
  <c r="J6928" i="2" s="1"/>
  <c r="I6929" i="2"/>
  <c r="J6929" i="2" s="1"/>
  <c r="I6930" i="2"/>
  <c r="J6930" i="2" s="1"/>
  <c r="I6931" i="2"/>
  <c r="J6931" i="2" s="1"/>
  <c r="I6932" i="2"/>
  <c r="J6932" i="2" s="1"/>
  <c r="I6933" i="2"/>
  <c r="J6933" i="2" s="1"/>
  <c r="I6934" i="2"/>
  <c r="J6934" i="2" s="1"/>
  <c r="I6935" i="2"/>
  <c r="J6935" i="2" s="1"/>
  <c r="I6936" i="2"/>
  <c r="J6936" i="2" s="1"/>
  <c r="I6937" i="2"/>
  <c r="J6937" i="2" s="1"/>
  <c r="I6938" i="2"/>
  <c r="J6938" i="2" s="1"/>
  <c r="I6939" i="2"/>
  <c r="J6939" i="2" s="1"/>
  <c r="I6940" i="2"/>
  <c r="J6940" i="2" s="1"/>
  <c r="I6941" i="2"/>
  <c r="J6941" i="2" s="1"/>
  <c r="I6942" i="2"/>
  <c r="J6942" i="2" s="1"/>
  <c r="I6943" i="2"/>
  <c r="I6944" i="2"/>
  <c r="J6944" i="2" s="1"/>
  <c r="I6945" i="2"/>
  <c r="J6945" i="2" s="1"/>
  <c r="I6946" i="2"/>
  <c r="J6946" i="2" s="1"/>
  <c r="I6947" i="2"/>
  <c r="J6947" i="2" s="1"/>
  <c r="I6948" i="2"/>
  <c r="J6948" i="2" s="1"/>
  <c r="I6949" i="2"/>
  <c r="J6949" i="2" s="1"/>
  <c r="I6950" i="2"/>
  <c r="J6950" i="2" s="1"/>
  <c r="I6951" i="2"/>
  <c r="J6951" i="2" s="1"/>
  <c r="I6952" i="2"/>
  <c r="J6952" i="2" s="1"/>
  <c r="I6953" i="2"/>
  <c r="J6953" i="2" s="1"/>
  <c r="I6954" i="2"/>
  <c r="J6954" i="2" s="1"/>
  <c r="I6955" i="2"/>
  <c r="J6955" i="2" s="1"/>
  <c r="I6956" i="2"/>
  <c r="J6956" i="2" s="1"/>
  <c r="I6957" i="2"/>
  <c r="J6957" i="2" s="1"/>
  <c r="I6958" i="2"/>
  <c r="J6958" i="2" s="1"/>
  <c r="I6959" i="2"/>
  <c r="J6959" i="2" s="1"/>
  <c r="I6960" i="2"/>
  <c r="J6960" i="2" s="1"/>
  <c r="I6961" i="2"/>
  <c r="J6961" i="2" s="1"/>
  <c r="I6962" i="2"/>
  <c r="J6962" i="2" s="1"/>
  <c r="I6963" i="2"/>
  <c r="J6963" i="2" s="1"/>
  <c r="I6964" i="2"/>
  <c r="J6964" i="2" s="1"/>
  <c r="I6965" i="2"/>
  <c r="J6965" i="2" s="1"/>
  <c r="I6966" i="2"/>
  <c r="J6966" i="2" s="1"/>
  <c r="I6967" i="2"/>
  <c r="J6967" i="2" s="1"/>
  <c r="I6968" i="2"/>
  <c r="J6968" i="2" s="1"/>
  <c r="I6969" i="2"/>
  <c r="J6969" i="2" s="1"/>
  <c r="I6970" i="2"/>
  <c r="I6971" i="2"/>
  <c r="I6972" i="2"/>
  <c r="J6972" i="2" s="1"/>
  <c r="I6973" i="2"/>
  <c r="J6973" i="2" s="1"/>
  <c r="I6974" i="2"/>
  <c r="J6974" i="2" s="1"/>
  <c r="I6975" i="2"/>
  <c r="J6975" i="2" s="1"/>
  <c r="I6976" i="2"/>
  <c r="J6976" i="2" s="1"/>
  <c r="I6977" i="2"/>
  <c r="J6977" i="2" s="1"/>
  <c r="I6978" i="2"/>
  <c r="I6979" i="2"/>
  <c r="J6979" i="2" s="1"/>
  <c r="I6980" i="2"/>
  <c r="J6980" i="2" s="1"/>
  <c r="I6981" i="2"/>
  <c r="J6981" i="2" s="1"/>
  <c r="I6982" i="2"/>
  <c r="J6982" i="2" s="1"/>
  <c r="I6983" i="2"/>
  <c r="J6983" i="2" s="1"/>
  <c r="I6984" i="2"/>
  <c r="J6984" i="2" s="1"/>
  <c r="I6985" i="2"/>
  <c r="J6985" i="2" s="1"/>
  <c r="I6986" i="2"/>
  <c r="J6986" i="2" s="1"/>
  <c r="I6987" i="2"/>
  <c r="J6987" i="2" s="1"/>
  <c r="I6988" i="2"/>
  <c r="J6988" i="2" s="1"/>
  <c r="I6989" i="2"/>
  <c r="J6989" i="2" s="1"/>
  <c r="I6990" i="2"/>
  <c r="J6990" i="2" s="1"/>
  <c r="I6991" i="2"/>
  <c r="J6991" i="2" s="1"/>
  <c r="I6992" i="2"/>
  <c r="J6992" i="2" s="1"/>
  <c r="I6993" i="2"/>
  <c r="J6993" i="2" s="1"/>
  <c r="I6994" i="2"/>
  <c r="J6994" i="2" s="1"/>
  <c r="I6995" i="2"/>
  <c r="J6995" i="2" s="1"/>
  <c r="I6996" i="2"/>
  <c r="J6996" i="2" s="1"/>
  <c r="I6997" i="2"/>
  <c r="J6997" i="2" s="1"/>
  <c r="I6998" i="2"/>
  <c r="J6998" i="2" s="1"/>
  <c r="I6999" i="2"/>
  <c r="J6999" i="2" s="1"/>
  <c r="I7000" i="2"/>
  <c r="J7000" i="2" s="1"/>
  <c r="I7001" i="2"/>
  <c r="J7001" i="2" s="1"/>
  <c r="I7002" i="2"/>
  <c r="J7002" i="2" s="1"/>
  <c r="I7003" i="2"/>
  <c r="I7004" i="2"/>
  <c r="I7005" i="2"/>
  <c r="J7005" i="2" s="1"/>
  <c r="I7006" i="2"/>
  <c r="J7006" i="2" s="1"/>
  <c r="I7007" i="2"/>
  <c r="J7007" i="2" s="1"/>
  <c r="I7008" i="2"/>
  <c r="J7008" i="2" s="1"/>
  <c r="I7009" i="2"/>
  <c r="J7009" i="2" s="1"/>
  <c r="I7010" i="2"/>
  <c r="J7010" i="2" s="1"/>
  <c r="I7011" i="2"/>
  <c r="J7011" i="2" s="1"/>
  <c r="I7012" i="2"/>
  <c r="J7012" i="2" s="1"/>
  <c r="I7013" i="2"/>
  <c r="J7013" i="2" s="1"/>
  <c r="I7014" i="2"/>
  <c r="J7014" i="2" s="1"/>
  <c r="I7015" i="2"/>
  <c r="J7015" i="2" s="1"/>
  <c r="I7016" i="2"/>
  <c r="I7017" i="2"/>
  <c r="J7017" i="2" s="1"/>
  <c r="I7018" i="2"/>
  <c r="J7018" i="2" s="1"/>
  <c r="I7019" i="2"/>
  <c r="J7019" i="2" s="1"/>
  <c r="I7020" i="2"/>
  <c r="J7020" i="2" s="1"/>
  <c r="I7021" i="2"/>
  <c r="J7021" i="2" s="1"/>
  <c r="I7022" i="2"/>
  <c r="J7022" i="2" s="1"/>
  <c r="I7023" i="2"/>
  <c r="J7023" i="2" s="1"/>
  <c r="I7024" i="2"/>
  <c r="J7024" i="2" s="1"/>
  <c r="I7025" i="2"/>
  <c r="J7025" i="2" s="1"/>
  <c r="I7026" i="2"/>
  <c r="J7026" i="2" s="1"/>
  <c r="I7027" i="2"/>
  <c r="I7028" i="2"/>
  <c r="J7028" i="2" s="1"/>
  <c r="I7029" i="2"/>
  <c r="J7029" i="2" s="1"/>
  <c r="I7030" i="2"/>
  <c r="J7030" i="2" s="1"/>
  <c r="I7031" i="2"/>
  <c r="J7031" i="2" s="1"/>
  <c r="I7032" i="2"/>
  <c r="J7032" i="2" s="1"/>
  <c r="I7033" i="2"/>
  <c r="J7033" i="2" s="1"/>
  <c r="I7034" i="2"/>
  <c r="J7034" i="2" s="1"/>
  <c r="I7035" i="2"/>
  <c r="J7035" i="2" s="1"/>
  <c r="I7036" i="2"/>
  <c r="J7036" i="2" s="1"/>
  <c r="I7037" i="2"/>
  <c r="J7037" i="2" s="1"/>
  <c r="I7038" i="2"/>
  <c r="J7038" i="2" s="1"/>
  <c r="I7039" i="2"/>
  <c r="J7039" i="2" s="1"/>
  <c r="I7040" i="2"/>
  <c r="J7040" i="2" s="1"/>
  <c r="I7041" i="2"/>
  <c r="J7041" i="2" s="1"/>
  <c r="I7042" i="2"/>
  <c r="J7042" i="2" s="1"/>
  <c r="I7043" i="2"/>
  <c r="J7043" i="2" s="1"/>
  <c r="I7044" i="2"/>
  <c r="J7044" i="2" s="1"/>
  <c r="I7045" i="2"/>
  <c r="J7045" i="2" s="1"/>
  <c r="I7046" i="2"/>
  <c r="J7046" i="2" s="1"/>
  <c r="I7047" i="2"/>
  <c r="J7047" i="2" s="1"/>
  <c r="I7048" i="2"/>
  <c r="J7048" i="2" s="1"/>
  <c r="I7049" i="2"/>
  <c r="J7049" i="2" s="1"/>
  <c r="I7050" i="2"/>
  <c r="I7051" i="2"/>
  <c r="I7052" i="2"/>
  <c r="J7052" i="2" s="1"/>
  <c r="I7053" i="2"/>
  <c r="J7053" i="2" s="1"/>
  <c r="I7054" i="2"/>
  <c r="J7054" i="2" s="1"/>
  <c r="I7055" i="2"/>
  <c r="J7055" i="2" s="1"/>
  <c r="I7056" i="2"/>
  <c r="J7056" i="2" s="1"/>
  <c r="I7057" i="2"/>
  <c r="J7057" i="2" s="1"/>
  <c r="I7058" i="2"/>
  <c r="J7058" i="2" s="1"/>
  <c r="I7059" i="2"/>
  <c r="J7059" i="2" s="1"/>
  <c r="I7060" i="2"/>
  <c r="J7060" i="2" s="1"/>
  <c r="I7061" i="2"/>
  <c r="J7061" i="2" s="1"/>
  <c r="I7062" i="2"/>
  <c r="J7062" i="2" s="1"/>
  <c r="I7063" i="2"/>
  <c r="I7064" i="2"/>
  <c r="I7065" i="2"/>
  <c r="J7065" i="2" s="1"/>
  <c r="I7066" i="2"/>
  <c r="J7066" i="2" s="1"/>
  <c r="I7067" i="2"/>
  <c r="J7067" i="2" s="1"/>
  <c r="I7068" i="2"/>
  <c r="J7068" i="2" s="1"/>
  <c r="I7069" i="2"/>
  <c r="J7069" i="2" s="1"/>
  <c r="I7070" i="2"/>
  <c r="J7070" i="2" s="1"/>
  <c r="I7071" i="2"/>
  <c r="J7071" i="2" s="1"/>
  <c r="I7072" i="2"/>
  <c r="J7072" i="2" s="1"/>
  <c r="I7073" i="2"/>
  <c r="J7073" i="2" s="1"/>
  <c r="I7074" i="2"/>
  <c r="J7074" i="2" s="1"/>
  <c r="I7075" i="2"/>
  <c r="J7075" i="2" s="1"/>
  <c r="I7076" i="2"/>
  <c r="J7076" i="2" s="1"/>
  <c r="I7077" i="2"/>
  <c r="J7077" i="2" s="1"/>
  <c r="I7078" i="2"/>
  <c r="J7078" i="2" s="1"/>
  <c r="I7079" i="2"/>
  <c r="J7079" i="2" s="1"/>
  <c r="I7080" i="2"/>
  <c r="J7080" i="2" s="1"/>
  <c r="I7081" i="2"/>
  <c r="J7081" i="2" s="1"/>
  <c r="I7082" i="2"/>
  <c r="J7082" i="2" s="1"/>
  <c r="I7083" i="2"/>
  <c r="J7083" i="2" s="1"/>
  <c r="I7084" i="2"/>
  <c r="J7084" i="2" s="1"/>
  <c r="I7085" i="2"/>
  <c r="J7085" i="2" s="1"/>
  <c r="I7086" i="2"/>
  <c r="J7086" i="2" s="1"/>
  <c r="I7087" i="2"/>
  <c r="J7087" i="2" s="1"/>
  <c r="I7088" i="2"/>
  <c r="J7088" i="2" s="1"/>
  <c r="I7089" i="2"/>
  <c r="J7089" i="2" s="1"/>
  <c r="I7090" i="2"/>
  <c r="J7090" i="2" s="1"/>
  <c r="I7091" i="2"/>
  <c r="J7091" i="2" s="1"/>
  <c r="I7092" i="2"/>
  <c r="J7092" i="2" s="1"/>
  <c r="I7093" i="2"/>
  <c r="J7093" i="2" s="1"/>
  <c r="I7094" i="2"/>
  <c r="J7094" i="2" s="1"/>
  <c r="I7095" i="2"/>
  <c r="J7095" i="2" s="1"/>
  <c r="I7096" i="2"/>
  <c r="J7096" i="2" s="1"/>
  <c r="I7097" i="2"/>
  <c r="J7097" i="2" s="1"/>
  <c r="I7098" i="2"/>
  <c r="J7098" i="2" s="1"/>
  <c r="I7099" i="2"/>
  <c r="I7100" i="2"/>
  <c r="J7100" i="2" s="1"/>
  <c r="I7101" i="2"/>
  <c r="J7101" i="2" s="1"/>
  <c r="I7102" i="2"/>
  <c r="J7102" i="2" s="1"/>
  <c r="I7103" i="2"/>
  <c r="J7103" i="2" s="1"/>
  <c r="I7104" i="2"/>
  <c r="J7104" i="2" s="1"/>
  <c r="I7105" i="2"/>
  <c r="J7105" i="2" s="1"/>
  <c r="I7106" i="2"/>
  <c r="J7106" i="2" s="1"/>
  <c r="I7107" i="2"/>
  <c r="J7107" i="2" s="1"/>
  <c r="I7108" i="2"/>
  <c r="J7108" i="2" s="1"/>
  <c r="I7109" i="2"/>
  <c r="J7109" i="2" s="1"/>
  <c r="I7110" i="2"/>
  <c r="J7110" i="2" s="1"/>
  <c r="I7111" i="2"/>
  <c r="I7112" i="2"/>
  <c r="J7112" i="2" s="1"/>
  <c r="I7113" i="2"/>
  <c r="J7113" i="2" s="1"/>
  <c r="I7114" i="2"/>
  <c r="J7114" i="2" s="1"/>
  <c r="I7115" i="2"/>
  <c r="J7115" i="2" s="1"/>
  <c r="I7116" i="2"/>
  <c r="J7116" i="2" s="1"/>
  <c r="I7117" i="2"/>
  <c r="J7117" i="2" s="1"/>
  <c r="I7118" i="2"/>
  <c r="J7118" i="2" s="1"/>
  <c r="I7119" i="2"/>
  <c r="J7119" i="2" s="1"/>
  <c r="I7120" i="2"/>
  <c r="J7120" i="2" s="1"/>
  <c r="I7121" i="2"/>
  <c r="J7121" i="2" s="1"/>
  <c r="I7122" i="2"/>
  <c r="I7123" i="2"/>
  <c r="I7124" i="2"/>
  <c r="J6571" i="2"/>
  <c r="J6585" i="2"/>
  <c r="J6594" i="2"/>
  <c r="J6595" i="2"/>
  <c r="J6618" i="2"/>
  <c r="J6619" i="2"/>
  <c r="J6643" i="2"/>
  <c r="J6655" i="2"/>
  <c r="J6659" i="2"/>
  <c r="J6669" i="2"/>
  <c r="J6679" i="2"/>
  <c r="J6715" i="2"/>
  <c r="J6727" i="2"/>
  <c r="J6738" i="2"/>
  <c r="J6751" i="2"/>
  <c r="J6762" i="2"/>
  <c r="J6763" i="2"/>
  <c r="J6787" i="2"/>
  <c r="J6813" i="2"/>
  <c r="J6822" i="2"/>
  <c r="J6823" i="2"/>
  <c r="J6835" i="2"/>
  <c r="J6873" i="2"/>
  <c r="J6883" i="2"/>
  <c r="J6894" i="2"/>
  <c r="J6907" i="2"/>
  <c r="J6918" i="2"/>
  <c r="J6919" i="2"/>
  <c r="J6943" i="2"/>
  <c r="J6970" i="2"/>
  <c r="J6971" i="2"/>
  <c r="J6978" i="2"/>
  <c r="J7003" i="2"/>
  <c r="J7004" i="2"/>
  <c r="J7016" i="2"/>
  <c r="J7027" i="2"/>
  <c r="J7050" i="2"/>
  <c r="J7051" i="2"/>
  <c r="J7063" i="2"/>
  <c r="J7064" i="2"/>
  <c r="J7099" i="2"/>
  <c r="J7111" i="2"/>
  <c r="J7122" i="2"/>
  <c r="J7123" i="2"/>
  <c r="J712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C199" i="5"/>
  <c r="C198" i="5"/>
  <c r="C197" i="5"/>
  <c r="C196" i="5"/>
  <c r="C195" i="5"/>
  <c r="C194" i="5"/>
  <c r="C193" i="5"/>
  <c r="C192" i="5"/>
  <c r="E411" i="3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E6204" i="2" s="1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E6216" i="2" s="1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E6228" i="2" s="1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E6240" i="2" s="1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E6252" i="2" s="1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E6264" i="2" s="1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E6276" i="2" s="1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E6300" i="2" s="1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E6312" i="2" s="1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E6324" i="2" s="1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E6336" i="2" s="1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E6348" i="2" s="1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J6044" i="2" s="1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J6055" i="2" s="1"/>
  <c r="I6056" i="2"/>
  <c r="J6056" i="2" s="1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J6068" i="2" s="1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J6079" i="2" s="1"/>
  <c r="I6080" i="2"/>
  <c r="J6080" i="2" s="1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J6104" i="2" s="1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J6115" i="2" s="1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J6128" i="2" s="1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J6151" i="2" s="1"/>
  <c r="I6152" i="2"/>
  <c r="J6152" i="2" s="1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J6163" i="2" s="1"/>
  <c r="I6164" i="2"/>
  <c r="J6164" i="2" s="1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J6199" i="2" s="1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J6211" i="2" s="1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J6224" i="2" s="1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J6236" i="2" s="1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J6247" i="2" s="1"/>
  <c r="I6248" i="2"/>
  <c r="J6248" i="2" s="1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J6283" i="2" s="1"/>
  <c r="I6284" i="2"/>
  <c r="J6284" i="2" s="1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J6307" i="2" s="1"/>
  <c r="I6308" i="2"/>
  <c r="J6308" i="2" s="1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J6319" i="2" s="1"/>
  <c r="I6320" i="2"/>
  <c r="J6320" i="2" s="1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J6331" i="2" s="1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J6356" i="2" s="1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J6368" i="2" s="1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J6379" i="2" s="1"/>
  <c r="I6380" i="2"/>
  <c r="J6380" i="2" s="1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J6391" i="2" s="1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J6403" i="2" s="1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J6416" i="2" s="1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J6428" i="2" s="1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J6452" i="2" s="1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J6463" i="2" s="1"/>
  <c r="I6464" i="2"/>
  <c r="J6464" i="2" s="1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J6475" i="2" s="1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J6487" i="2" s="1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J6499" i="2" s="1"/>
  <c r="I6500" i="2"/>
  <c r="J6500" i="2" s="1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J6511" i="2" s="1"/>
  <c r="I6512" i="2"/>
  <c r="J6512" i="2" s="1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J6536" i="2" s="1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235" i="2"/>
  <c r="J6367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J5731" i="2" s="1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J5773" i="2" s="1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J5863" i="2" s="1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2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7116" i="2" l="1"/>
  <c r="E7104" i="2"/>
  <c r="E7092" i="2"/>
  <c r="E7080" i="2"/>
  <c r="E7068" i="2"/>
  <c r="E7056" i="2"/>
  <c r="E7044" i="2"/>
  <c r="E7032" i="2"/>
  <c r="E7020" i="2"/>
  <c r="E7008" i="2"/>
  <c r="E6996" i="2"/>
  <c r="E6984" i="2"/>
  <c r="E6972" i="2"/>
  <c r="E6960" i="2"/>
  <c r="E6948" i="2"/>
  <c r="E6936" i="2"/>
  <c r="E6924" i="2"/>
  <c r="E6912" i="2"/>
  <c r="E6900" i="2"/>
  <c r="E6888" i="2"/>
  <c r="E6876" i="2"/>
  <c r="E6864" i="2"/>
  <c r="E6852" i="2"/>
  <c r="E6840" i="2"/>
  <c r="E6828" i="2"/>
  <c r="E6816" i="2"/>
  <c r="E6804" i="2"/>
  <c r="E6792" i="2"/>
  <c r="E6780" i="2"/>
  <c r="E6768" i="2"/>
  <c r="E6756" i="2"/>
  <c r="E6744" i="2"/>
  <c r="E6732" i="2"/>
  <c r="E6720" i="2"/>
  <c r="E6708" i="2"/>
  <c r="E6696" i="2"/>
  <c r="E6684" i="2"/>
  <c r="E6672" i="2"/>
  <c r="E6660" i="2"/>
  <c r="E6648" i="2"/>
  <c r="E6636" i="2"/>
  <c r="E6624" i="2"/>
  <c r="E6612" i="2"/>
  <c r="E6600" i="2"/>
  <c r="E6588" i="2"/>
  <c r="E6576" i="2"/>
  <c r="E6564" i="2"/>
  <c r="E6552" i="2"/>
  <c r="E7122" i="2"/>
  <c r="E7110" i="2"/>
  <c r="E7098" i="2"/>
  <c r="E7086" i="2"/>
  <c r="E7074" i="2"/>
  <c r="E7062" i="2"/>
  <c r="E7050" i="2"/>
  <c r="E7038" i="2"/>
  <c r="E7026" i="2"/>
  <c r="E7014" i="2"/>
  <c r="E7002" i="2"/>
  <c r="E6990" i="2"/>
  <c r="E6978" i="2"/>
  <c r="E6966" i="2"/>
  <c r="E6954" i="2"/>
  <c r="E6942" i="2"/>
  <c r="E6930" i="2"/>
  <c r="E6918" i="2"/>
  <c r="E6906" i="2"/>
  <c r="E6894" i="2"/>
  <c r="E6882" i="2"/>
  <c r="E6870" i="2"/>
  <c r="E6846" i="2"/>
  <c r="E6834" i="2"/>
  <c r="E6822" i="2"/>
  <c r="E6810" i="2"/>
  <c r="E6798" i="2"/>
  <c r="E6786" i="2"/>
  <c r="E6774" i="2"/>
  <c r="E6762" i="2"/>
  <c r="E6750" i="2"/>
  <c r="E6738" i="2"/>
  <c r="E6726" i="2"/>
  <c r="E6714" i="2"/>
  <c r="E6702" i="2"/>
  <c r="E6690" i="2"/>
  <c r="E6678" i="2"/>
  <c r="E6666" i="2"/>
  <c r="E6642" i="2"/>
  <c r="E6630" i="2"/>
  <c r="E6618" i="2"/>
  <c r="E6606" i="2"/>
  <c r="E6594" i="2"/>
  <c r="E6582" i="2"/>
  <c r="E6570" i="2"/>
  <c r="E7124" i="2"/>
  <c r="E7112" i="2"/>
  <c r="E7100" i="2"/>
  <c r="E7088" i="2"/>
  <c r="E7076" i="2"/>
  <c r="E7052" i="2"/>
  <c r="E7040" i="2"/>
  <c r="E7010" i="2"/>
  <c r="E6998" i="2"/>
  <c r="E6986" i="2"/>
  <c r="E6974" i="2"/>
  <c r="E6962" i="2"/>
  <c r="E6950" i="2"/>
  <c r="E6938" i="2"/>
  <c r="E6926" i="2"/>
  <c r="E6914" i="2"/>
  <c r="E6902" i="2"/>
  <c r="E6890" i="2"/>
  <c r="E6878" i="2"/>
  <c r="E6866" i="2"/>
  <c r="E6854" i="2"/>
  <c r="E6842" i="2"/>
  <c r="E6830" i="2"/>
  <c r="E6818" i="2"/>
  <c r="E6806" i="2"/>
  <c r="E6794" i="2"/>
  <c r="E6770" i="2"/>
  <c r="E6758" i="2"/>
  <c r="E6746" i="2"/>
  <c r="E6734" i="2"/>
  <c r="E6722" i="2"/>
  <c r="E6710" i="2"/>
  <c r="E6698" i="2"/>
  <c r="E6686" i="2"/>
  <c r="E6674" i="2"/>
  <c r="E6662" i="2"/>
  <c r="E6650" i="2"/>
  <c r="E6638" i="2"/>
  <c r="E6626" i="2"/>
  <c r="E6614" i="2"/>
  <c r="E6602" i="2"/>
  <c r="E6590" i="2"/>
  <c r="E6578" i="2"/>
  <c r="E6566" i="2"/>
  <c r="E6554" i="2"/>
  <c r="E6896" i="2"/>
  <c r="E6706" i="2"/>
  <c r="E6694" i="2"/>
  <c r="E6682" i="2"/>
  <c r="E6670" i="2"/>
  <c r="E6658" i="2"/>
  <c r="E6646" i="2"/>
  <c r="E6634" i="2"/>
  <c r="E6622" i="2"/>
  <c r="E6610" i="2"/>
  <c r="E6598" i="2"/>
  <c r="E6586" i="2"/>
  <c r="E6574" i="2"/>
  <c r="E6562" i="2"/>
  <c r="E6550" i="2"/>
  <c r="E7117" i="2"/>
  <c r="E7105" i="2"/>
  <c r="E7081" i="2"/>
  <c r="E7069" i="2"/>
  <c r="E7057" i="2"/>
  <c r="E7045" i="2"/>
  <c r="E7021" i="2"/>
  <c r="E7009" i="2"/>
  <c r="E6997" i="2"/>
  <c r="E6985" i="2"/>
  <c r="E6961" i="2"/>
  <c r="E6949" i="2"/>
  <c r="E6937" i="2"/>
  <c r="E6925" i="2"/>
  <c r="E6913" i="2"/>
  <c r="E6901" i="2"/>
  <c r="E6889" i="2"/>
  <c r="E6877" i="2"/>
  <c r="E6865" i="2"/>
  <c r="E6853" i="2"/>
  <c r="E6829" i="2"/>
  <c r="E6817" i="2"/>
  <c r="E6805" i="2"/>
  <c r="E6793" i="2"/>
  <c r="E6769" i="2"/>
  <c r="E6757" i="2"/>
  <c r="E6745" i="2"/>
  <c r="E6733" i="2"/>
  <c r="E6709" i="2"/>
  <c r="E6697" i="2"/>
  <c r="E6685" i="2"/>
  <c r="E6673" i="2"/>
  <c r="E6649" i="2"/>
  <c r="E6637" i="2"/>
  <c r="E6625" i="2"/>
  <c r="E6613" i="2"/>
  <c r="E6589" i="2"/>
  <c r="E6577" i="2"/>
  <c r="E6565" i="2"/>
  <c r="E7064" i="2"/>
  <c r="E6980" i="2"/>
  <c r="E6860" i="2"/>
  <c r="E6800" i="2"/>
  <c r="E6608" i="2"/>
  <c r="E6259" i="2"/>
  <c r="E6199" i="2"/>
  <c r="E7115" i="2"/>
  <c r="E7103" i="2"/>
  <c r="E7091" i="2"/>
  <c r="E7079" i="2"/>
  <c r="E7067" i="2"/>
  <c r="E7055" i="2"/>
  <c r="E7043" i="2"/>
  <c r="E7031" i="2"/>
  <c r="E7019" i="2"/>
  <c r="E7007" i="2"/>
  <c r="E6995" i="2"/>
  <c r="E6983" i="2"/>
  <c r="E6971" i="2"/>
  <c r="E6959" i="2"/>
  <c r="E6947" i="2"/>
  <c r="E6935" i="2"/>
  <c r="E6923" i="2"/>
  <c r="E6911" i="2"/>
  <c r="E6899" i="2"/>
  <c r="E6887" i="2"/>
  <c r="E6875" i="2"/>
  <c r="E6863" i="2"/>
  <c r="E6851" i="2"/>
  <c r="E6839" i="2"/>
  <c r="E6827" i="2"/>
  <c r="E6815" i="2"/>
  <c r="E6803" i="2"/>
  <c r="E6791" i="2"/>
  <c r="E6779" i="2"/>
  <c r="E6767" i="2"/>
  <c r="E6755" i="2"/>
  <c r="E6743" i="2"/>
  <c r="E6731" i="2"/>
  <c r="E6719" i="2"/>
  <c r="E6707" i="2"/>
  <c r="E6695" i="2"/>
  <c r="E6683" i="2"/>
  <c r="E6671" i="2"/>
  <c r="E6659" i="2"/>
  <c r="E6647" i="2"/>
  <c r="E6635" i="2"/>
  <c r="E6623" i="2"/>
  <c r="E6611" i="2"/>
  <c r="E6599" i="2"/>
  <c r="E6587" i="2"/>
  <c r="E6575" i="2"/>
  <c r="E6563" i="2"/>
  <c r="E6551" i="2"/>
  <c r="E7114" i="2"/>
  <c r="E7102" i="2"/>
  <c r="E7090" i="2"/>
  <c r="E7078" i="2"/>
  <c r="E7066" i="2"/>
  <c r="E7054" i="2"/>
  <c r="E7042" i="2"/>
  <c r="E7030" i="2"/>
  <c r="E7018" i="2"/>
  <c r="E7006" i="2"/>
  <c r="E6994" i="2"/>
  <c r="E6982" i="2"/>
  <c r="E6970" i="2"/>
  <c r="E6958" i="2"/>
  <c r="E6946" i="2"/>
  <c r="E6934" i="2"/>
  <c r="E6922" i="2"/>
  <c r="E6910" i="2"/>
  <c r="E6898" i="2"/>
  <c r="E6886" i="2"/>
  <c r="E6874" i="2"/>
  <c r="E6862" i="2"/>
  <c r="E6850" i="2"/>
  <c r="E6838" i="2"/>
  <c r="E6826" i="2"/>
  <c r="E6814" i="2"/>
  <c r="E6802" i="2"/>
  <c r="E6790" i="2"/>
  <c r="E6778" i="2"/>
  <c r="E6766" i="2"/>
  <c r="E6754" i="2"/>
  <c r="E6742" i="2"/>
  <c r="E6730" i="2"/>
  <c r="E6718" i="2"/>
  <c r="E7113" i="2"/>
  <c r="E7101" i="2"/>
  <c r="E7089" i="2"/>
  <c r="E7077" i="2"/>
  <c r="E7065" i="2"/>
  <c r="E7053" i="2"/>
  <c r="E7041" i="2"/>
  <c r="E7029" i="2"/>
  <c r="E7017" i="2"/>
  <c r="E7005" i="2"/>
  <c r="E6993" i="2"/>
  <c r="E6981" i="2"/>
  <c r="E6969" i="2"/>
  <c r="E6957" i="2"/>
  <c r="E6945" i="2"/>
  <c r="E6933" i="2"/>
  <c r="E6921" i="2"/>
  <c r="E6909" i="2"/>
  <c r="E6897" i="2"/>
  <c r="E6885" i="2"/>
  <c r="E6873" i="2"/>
  <c r="E6861" i="2"/>
  <c r="E6849" i="2"/>
  <c r="E6837" i="2"/>
  <c r="E6825" i="2"/>
  <c r="E6813" i="2"/>
  <c r="E6801" i="2"/>
  <c r="E6789" i="2"/>
  <c r="E6777" i="2"/>
  <c r="E6765" i="2"/>
  <c r="E6753" i="2"/>
  <c r="E6741" i="2"/>
  <c r="E6729" i="2"/>
  <c r="E6717" i="2"/>
  <c r="E6705" i="2"/>
  <c r="E6693" i="2"/>
  <c r="E6681" i="2"/>
  <c r="E6669" i="2"/>
  <c r="E6657" i="2"/>
  <c r="E6645" i="2"/>
  <c r="E6633" i="2"/>
  <c r="E6621" i="2"/>
  <c r="E6609" i="2"/>
  <c r="E6597" i="2"/>
  <c r="E6585" i="2"/>
  <c r="E6573" i="2"/>
  <c r="E6561" i="2"/>
  <c r="E6549" i="2"/>
  <c r="E6036" i="2"/>
  <c r="E6038" i="2"/>
  <c r="E6034" i="2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E5645" i="2" s="1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L6195" i="2" s="1"/>
  <c r="E160" i="3"/>
  <c r="L6511" i="2" s="1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L6470" i="2" s="1"/>
  <c r="E144" i="3"/>
  <c r="L503" i="2" s="1"/>
  <c r="E143" i="3"/>
  <c r="E142" i="3"/>
  <c r="L771" i="2" s="1"/>
  <c r="E141" i="3"/>
  <c r="E140" i="3"/>
  <c r="L6057" i="2" s="1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L6366" i="2" s="1"/>
  <c r="E116" i="3"/>
  <c r="E115" i="3"/>
  <c r="L5461" i="2" s="1"/>
  <c r="E114" i="3"/>
  <c r="E113" i="3"/>
  <c r="L2205" i="2" s="1"/>
  <c r="E112" i="3"/>
  <c r="L6506" i="2" s="1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L6430" i="2" s="1"/>
  <c r="E59" i="3"/>
  <c r="E58" i="3"/>
  <c r="E57" i="3"/>
  <c r="E56" i="3"/>
  <c r="E55" i="3"/>
  <c r="E54" i="3"/>
  <c r="E53" i="3"/>
  <c r="L985" i="2" s="1"/>
  <c r="E52" i="3"/>
  <c r="E51" i="3"/>
  <c r="L6434" i="2" s="1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6226" i="2" l="1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<sst xmlns="http://schemas.openxmlformats.org/spreadsheetml/2006/main" count="13455" uniqueCount="1331">
  <si>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</si>
  <si>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</si>
  <si>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</si>
  <si>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</si>
  <si>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</si>
  <si>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</si>
  <si>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</si>
  <si>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</si>
  <si>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</si>
  <si>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</si>
  <si>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</si>
  <si>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</si>
  <si>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</si>
  <si>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</si>
  <si>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</si>
  <si>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</si>
  <si>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</si>
  <si>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</si>
  <si>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</si>
  <si>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</si>
  <si>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</si>
  <si>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</si>
  <si>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</si>
  <si>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</si>
  <si>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</si>
  <si>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</si>
  <si>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</si>
  <si>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</si>
  <si>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</si>
  <si>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</si>
  <si>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</si>
  <si>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</si>
  <si>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</si>
  <si>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</si>
  <si>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</si>
  <si>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</si>
  <si>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</si>
  <si>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</si>
  <si>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</si>
  <si>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</si>
  <si>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</si>
  <si>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</si>
  <si>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</si>
  <si>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</si>
  <si>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</si>
  <si>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</si>
  <si>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</si>
  <si>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</si>
  <si>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</si>
  <si>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</si>
  <si>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</si>
  <si>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</si>
  <si>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</si>
  <si>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</si>
  <si>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</si>
  <si>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</si>
  <si>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</si>
  <si>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</si>
  <si>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</si>
  <si>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</si>
  <si>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</si>
  <si>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</si>
  <si>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</si>
  <si>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</si>
  <si>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</si>
  <si>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</si>
  <si>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</si>
  <si>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</si>
  <si>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</si>
  <si>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</si>
  <si>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</si>
  <si>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</si>
  <si>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</si>
  <si>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</si>
  <si>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</si>
  <si>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</si>
  <si>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</si>
  <si>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</si>
  <si>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</si>
  <si>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</si>
  <si>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</si>
  <si>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</si>
  <si>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</si>
  <si>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</si>
  <si>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</si>
  <si>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</si>
  <si>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</si>
  <si>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</si>
  <si>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</si>
  <si>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</si>
  <si>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</si>
  <si>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</si>
  <si>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</si>
  <si>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</si>
  <si>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</si>
  <si>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</si>
  <si>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</si>
  <si>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</si>
  <si>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</si>
  <si>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</si>
  <si>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</si>
  <si>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</si>
  <si>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</si>
  <si>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</si>
  <si>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</si>
  <si>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</si>
  <si>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</si>
  <si>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</si>
  <si>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</si>
  <si>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</si>
  <si>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</si>
  <si>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</si>
  <si>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</si>
  <si>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</si>
  <si>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</si>
  <si>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</si>
  <si>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</si>
  <si>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</si>
  <si>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</si>
  <si>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</si>
  <si>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</si>
  <si>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</si>
  <si>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</si>
  <si>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</si>
  <si>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</si>
  <si>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</si>
  <si>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</si>
  <si>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</si>
  <si>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</si>
  <si>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</si>
  <si>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</si>
  <si>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</si>
  <si>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</si>
  <si>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</si>
  <si>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</si>
  <si>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</si>
  <si>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</si>
  <si>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</si>
  <si>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</si>
  <si>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</si>
  <si>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</si>
  <si>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</si>
  <si>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</si>
  <si>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</si>
  <si>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</si>
  <si>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</si>
  <si>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</si>
  <si>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</si>
  <si>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</si>
  <si>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</si>
  <si>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</si>
  <si>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</si>
  <si>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</si>
  <si>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</si>
  <si>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</si>
  <si>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</si>
  <si>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</si>
  <si>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</si>
  <si>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</si>
  <si>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</si>
  <si>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</si>
  <si>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</si>
  <si>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</si>
  <si>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</si>
  <si>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</si>
  <si>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</si>
  <si>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</si>
  <si>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</si>
  <si>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</si>
  <si>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</si>
  <si>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</si>
  <si>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</si>
  <si>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</si>
  <si>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</si>
  <si>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</si>
  <si>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</si>
  <si>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</si>
  <si>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</si>
  <si>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</si>
  <si>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</si>
  <si>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</si>
  <si>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</si>
  <si>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</si>
  <si>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</si>
  <si>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</si>
  <si>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</si>
  <si>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</si>
  <si>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</si>
  <si>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</si>
  <si>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</si>
  <si>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</si>
  <si>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</si>
  <si>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</si>
  <si>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</si>
  <si>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</si>
  <si>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</si>
  <si>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</si>
  <si>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</si>
  <si>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</si>
  <si>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</si>
  <si>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</si>
  <si>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</si>
  <si>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</si>
  <si>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</si>
  <si>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</si>
  <si>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</si>
  <si>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</si>
  <si>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</si>
  <si>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</si>
  <si>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</si>
  <si>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</si>
  <si>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</si>
  <si>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</si>
  <si>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</si>
  <si>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</si>
  <si>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</si>
  <si>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</si>
  <si>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</si>
  <si>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</si>
  <si>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</si>
  <si>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</si>
  <si>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</si>
  <si>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</si>
  <si>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</si>
  <si>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</si>
  <si>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</si>
  <si>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</si>
  <si>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</si>
  <si>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</si>
  <si>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</si>
  <si>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</si>
  <si>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</si>
  <si>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</si>
  <si>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</si>
  <si>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</si>
  <si>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</si>
  <si>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</si>
  <si>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</si>
  <si>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</si>
  <si>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</si>
  <si>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</si>
  <si>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</si>
  <si>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</si>
  <si>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</si>
  <si>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</si>
  <si>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</si>
  <si>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</si>
  <si>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</si>
  <si>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</si>
  <si>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</si>
  <si>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</si>
  <si>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</si>
  <si>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</si>
  <si>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</si>
  <si>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</si>
  <si>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</si>
  <si>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</si>
  <si>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</si>
  <si>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</si>
  <si>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</si>
  <si>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</si>
  <si>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</si>
  <si>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</si>
  <si>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</si>
  <si>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</si>
  <si>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</si>
  <si>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</si>
  <si>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</si>
  <si>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</si>
  <si>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</si>
  <si>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</si>
  <si>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</si>
  <si>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</si>
  <si>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</si>
  <si>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</si>
  <si>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</si>
  <si>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</si>
  <si>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</si>
  <si>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</si>
  <si>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</si>
  <si>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</si>
  <si>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</si>
  <si>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</si>
  <si>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</si>
  <si>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</si>
  <si>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</si>
  <si>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</si>
  <si>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</si>
  <si>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</si>
  <si>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</si>
  <si>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</si>
  <si>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</si>
  <si>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</si>
  <si>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</si>
  <si>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</si>
  <si>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</si>
  <si>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</si>
  <si>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</si>
  <si>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</si>
  <si>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</si>
  <si>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</si>
  <si>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</si>
  <si>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</si>
  <si>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</si>
  <si>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</si>
  <si>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</si>
  <si>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</si>
  <si>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</si>
  <si>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</si>
  <si>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</si>
  <si>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</si>
  <si>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</si>
  <si>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</si>
  <si>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</si>
  <si>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</si>
  <si>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</si>
  <si>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</si>
  <si>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</si>
  <si>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</si>
  <si>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</si>
  <si>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</si>
  <si>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</si>
  <si>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</si>
  <si>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</si>
  <si>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</si>
  <si>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</si>
  <si>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</si>
  <si>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</si>
  <si>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</si>
  <si>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</si>
  <si>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</si>
  <si>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</si>
  <si>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</si>
  <si>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</si>
  <si>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</si>
  <si>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</si>
  <si>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</si>
  <si>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</si>
  <si>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</si>
  <si>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</si>
  <si>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</si>
  <si>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</si>
  <si>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</si>
  <si>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</si>
  <si>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</si>
  <si>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</si>
  <si>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</si>
  <si>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</si>
  <si>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</si>
  <si>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</si>
  <si>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</si>
  <si>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</si>
  <si>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</si>
  <si>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</si>
  <si>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</si>
  <si>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</si>
  <si>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</si>
  <si>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</si>
  <si>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</si>
  <si>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</si>
  <si>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</si>
  <si>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</si>
  <si>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</si>
  <si>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</si>
  <si>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</si>
  <si>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</si>
  <si>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</si>
  <si>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</si>
  <si>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</si>
  <si>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</si>
  <si>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</si>
  <si>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</si>
  <si>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</si>
  <si>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</si>
  <si>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</si>
  <si>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</si>
  <si>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</si>
  <si>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</si>
  <si>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</si>
  <si>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</si>
  <si>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</si>
  <si>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</si>
  <si>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</si>
  <si>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</si>
  <si>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</si>
  <si>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</si>
  <si>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</si>
  <si>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</si>
  <si>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</si>
  <si>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</si>
  <si>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</si>
  <si>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</si>
  <si>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</si>
  <si>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</si>
  <si>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</si>
  <si>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</si>
  <si>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</si>
  <si>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</si>
  <si>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</si>
  <si>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</si>
  <si>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</si>
  <si>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</si>
  <si>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</si>
  <si>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</si>
  <si>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</si>
  <si>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</si>
  <si>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</si>
  <si>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</si>
  <si>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</si>
  <si>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</si>
  <si>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</si>
  <si>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</si>
  <si>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</si>
  <si>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</si>
  <si>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</si>
  <si>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</si>
  <si>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</si>
  <si>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</si>
  <si>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</si>
  <si>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</si>
  <si>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</si>
  <si>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</si>
  <si>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</si>
  <si>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</si>
  <si>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</si>
  <si>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</si>
  <si>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</si>
  <si>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</si>
  <si>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</si>
  <si>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</si>
  <si>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</si>
  <si>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</si>
  <si>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</si>
  <si>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</si>
  <si>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</si>
  <si>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</si>
  <si>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</si>
  <si>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</si>
  <si>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</si>
  <si>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</si>
  <si>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</si>
  <si>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</si>
  <si>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</si>
  <si>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</si>
  <si>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</si>
  <si>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</si>
  <si>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</si>
  <si>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</si>
  <si>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</si>
  <si>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</si>
  <si>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</si>
  <si>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</si>
  <si>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</si>
  <si>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</si>
  <si>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</si>
  <si>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</si>
  <si>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</si>
  <si>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</si>
  <si>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</si>
  <si>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</si>
  <si>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</si>
  <si>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</si>
  <si>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</si>
  <si>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</si>
  <si>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</si>
  <si>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</si>
  <si>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</si>
  <si>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</si>
  <si>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</si>
  <si>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</si>
  <si>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</si>
  <si>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</si>
  <si>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</si>
  <si>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</si>
  <si>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</si>
  <si>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</si>
  <si>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</si>
  <si>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</si>
  <si>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</si>
  <si>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</si>
  <si>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</si>
  <si>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</si>
  <si>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</si>
  <si>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</si>
  <si>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</si>
  <si>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</si>
  <si>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</si>
  <si>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</si>
  <si>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</si>
  <si>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</si>
  <si>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</si>
  <si>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</si>
  <si>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</si>
  <si>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</si>
  <si>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</si>
  <si>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</si>
  <si>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</si>
  <si>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</si>
  <si>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</si>
  <si>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</si>
  <si>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</si>
  <si>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</si>
  <si>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</si>
  <si>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</si>
  <si>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</si>
  <si>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</si>
  <si>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</si>
  <si>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</si>
  <si>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</si>
  <si>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</si>
  <si>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</si>
  <si>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</si>
  <si>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</si>
  <si>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</si>
  <si>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</si>
  <si>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</si>
  <si>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</si>
  <si>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</si>
  <si>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</si>
  <si>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</si>
  <si>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</si>
  <si>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</si>
  <si>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</si>
  <si>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</si>
  <si>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</si>
  <si>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</si>
  <si>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</si>
  <si>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</si>
  <si>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</si>
  <si>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</si>
  <si>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</si>
  <si>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</si>
  <si>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</si>
  <si>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</si>
  <si>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</si>
  <si>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</si>
  <si>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</si>
  <si>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</si>
  <si>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</si>
  <si>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</si>
  <si>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</si>
  <si>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</si>
  <si>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</si>
  <si>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</si>
  <si>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</si>
  <si>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</si>
  <si>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</si>
  <si>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</si>
  <si>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</si>
  <si>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</si>
  <si>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</si>
  <si>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</si>
  <si>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</si>
  <si>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</si>
  <si>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</si>
  <si>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</si>
  <si>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</si>
  <si>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</si>
  <si>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</si>
  <si>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</si>
  <si>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</si>
  <si>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</si>
  <si>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</si>
  <si>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</si>
  <si>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</si>
  <si>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</si>
  <si>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</si>
  <si>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</si>
  <si>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</si>
  <si>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</si>
  <si>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</si>
  <si>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</si>
  <si>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</si>
  <si>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</si>
  <si>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</si>
  <si>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</si>
  <si>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</si>
  <si>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</si>
  <si>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</si>
  <si>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</si>
  <si>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</si>
  <si>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</si>
  <si>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</si>
  <si>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</si>
  <si>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</si>
  <si>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</si>
  <si>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</si>
  <si>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</si>
  <si>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</si>
  <si>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</si>
  <si>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</si>
  <si>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</si>
  <si>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</si>
  <si>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</si>
  <si>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</si>
  <si>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</si>
  <si>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</si>
  <si>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</si>
  <si>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</si>
  <si>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</si>
  <si>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</si>
  <si>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</si>
  <si>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</si>
  <si>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</si>
  <si>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</si>
  <si>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</si>
  <si>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</si>
  <si>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</si>
  <si>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</si>
  <si>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</si>
  <si>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</si>
  <si>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</si>
  <si>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</si>
  <si>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</si>
  <si>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</si>
  <si>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</si>
  <si>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</si>
  <si>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</si>
  <si>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</si>
  <si>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</si>
  <si>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</si>
  <si>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</si>
  <si>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</si>
  <si>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</si>
  <si>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</si>
  <si>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</si>
  <si>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</si>
  <si>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</si>
  <si>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</si>
  <si>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</si>
  <si>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</si>
  <si>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</si>
  <si>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</si>
  <si>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</si>
  <si>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</si>
  <si>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</si>
  <si>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</si>
  <si>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</si>
  <si>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</si>
  <si>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</si>
  <si>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</si>
  <si>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</si>
  <si>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</si>
  <si>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</si>
  <si>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</si>
  <si>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</si>
  <si>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</si>
  <si>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</si>
  <si>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</si>
  <si>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</si>
  <si>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</si>
  <si>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</si>
  <si>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</si>
  <si>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</si>
  <si>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</si>
  <si>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</si>
  <si>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</si>
  <si>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</si>
  <si>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</si>
  <si>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</si>
  <si>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</si>
  <si>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</si>
  <si>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</si>
  <si>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</si>
  <si>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</si>
  <si>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</si>
  <si>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</si>
  <si>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</si>
  <si>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</si>
  <si>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</si>
  <si>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</si>
  <si>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</si>
  <si>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</si>
  <si>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</si>
  <si>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</si>
  <si>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</si>
  <si>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</si>
  <si>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</si>
  <si>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</si>
  <si>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</si>
  <si>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</si>
  <si>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</si>
  <si>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</si>
  <si>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</si>
  <si>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</si>
  <si>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</si>
  <si>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</si>
  <si>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</si>
  <si>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</si>
  <si>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</si>
  <si>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</si>
  <si>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</si>
  <si>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</si>
  <si>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</si>
  <si>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</si>
  <si>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</si>
  <si>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</si>
  <si>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</si>
  <si>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</si>
  <si>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</si>
  <si>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</si>
  <si>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</si>
  <si>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</si>
  <si>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</si>
  <si>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</si>
  <si>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</si>
  <si>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</si>
  <si>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</si>
  <si>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</si>
  <si>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</si>
  <si>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</si>
  <si>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</si>
  <si>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</si>
  <si>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</si>
  <si>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</si>
  <si>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</si>
  <si>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</si>
  <si>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</si>
  <si>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</si>
  <si>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</si>
  <si>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</si>
  <si>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</si>
  <si>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</si>
  <si>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</si>
  <si>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</si>
  <si>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</si>
  <si>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</si>
  <si>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</si>
  <si>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</si>
  <si>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</si>
  <si>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</si>
  <si>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</si>
  <si>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</si>
  <si>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</si>
  <si>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</si>
  <si>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</si>
  <si>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</si>
  <si>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</si>
  <si>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</si>
  <si>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</si>
  <si>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</si>
  <si>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</si>
  <si>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</si>
  <si>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</si>
  <si>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</si>
  <si>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</si>
  <si>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</si>
  <si>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</si>
  <si>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</si>
  <si>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</si>
  <si>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</si>
  <si>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</si>
  <si>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</si>
  <si>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</si>
  <si>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</si>
  <si>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</si>
  <si>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</si>
  <si>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</si>
  <si>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</si>
  <si>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</si>
  <si>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</si>
  <si>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</si>
  <si>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</si>
  <si>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</si>
  <si>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</si>
  <si>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</si>
  <si>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</si>
  <si>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</si>
  <si>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</si>
  <si>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</si>
  <si>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</si>
  <si>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</si>
  <si>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</si>
  <si>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</si>
  <si>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</si>
  <si>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</si>
  <si>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</si>
  <si>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</si>
  <si>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</si>
  <si>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</si>
  <si>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</si>
  <si>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</si>
  <si>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</si>
  <si>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</si>
  <si>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</si>
  <si>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</si>
  <si>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</si>
  <si>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</si>
  <si>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</si>
  <si>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</si>
  <si>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</si>
  <si>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</si>
  <si>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</si>
  <si>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</si>
  <si>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</si>
  <si>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</si>
  <si>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</si>
  <si>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</si>
  <si>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</si>
  <si>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</si>
  <si>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</si>
  <si>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</si>
  <si>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</si>
  <si>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</si>
  <si>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</si>
  <si>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</si>
  <si>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</si>
  <si>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</si>
  <si>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</si>
  <si>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</si>
  <si>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</si>
  <si>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</si>
  <si>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</si>
  <si>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</si>
  <si>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</si>
  <si>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</si>
  <si>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</si>
  <si>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</si>
  <si>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</si>
  <si>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</si>
  <si>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</si>
  <si>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</si>
  <si>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</si>
  <si>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</si>
  <si>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</si>
  <si>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</si>
  <si>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</si>
  <si>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</si>
  <si>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</si>
  <si>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</si>
  <si>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</si>
  <si>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</si>
  <si>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</si>
  <si>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</si>
  <si>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</si>
  <si>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</si>
  <si>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</si>
  <si>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</si>
  <si>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</si>
  <si>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</si>
  <si>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</si>
  <si>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</si>
  <si>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</si>
  <si>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</si>
  <si>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</si>
  <si>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</si>
  <si>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</si>
  <si>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</si>
  <si>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</si>
  <si>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</si>
  <si>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</si>
  <si>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</si>
  <si>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</si>
  <si>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</si>
  <si>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</si>
  <si>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</si>
  <si>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</si>
  <si>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</si>
  <si>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</si>
  <si>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</si>
  <si>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</si>
  <si>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</si>
  <si>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</si>
  <si>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</si>
  <si>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</si>
  <si>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</si>
  <si>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</si>
  <si>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</si>
  <si>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</si>
  <si>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</si>
  <si>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</si>
  <si>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</si>
  <si>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</si>
  <si>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</si>
  <si>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</si>
  <si>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</si>
  <si>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</si>
  <si>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</si>
  <si>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</si>
  <si>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</si>
  <si>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</si>
  <si>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</si>
  <si>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</si>
  <si>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</si>
  <si>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</si>
  <si>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</si>
  <si>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</si>
  <si>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</si>
  <si>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</si>
  <si>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</si>
  <si>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</si>
  <si>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</si>
  <si>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</si>
  <si>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</si>
  <si>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</si>
  <si>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</si>
  <si>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</si>
  <si>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</si>
  <si>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</si>
  <si>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</si>
  <si>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</si>
  <si>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</si>
  <si>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</si>
  <si>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</si>
  <si>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</si>
  <si>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</si>
  <si>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</si>
  <si>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</si>
  <si>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</si>
  <si>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</si>
  <si>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</si>
  <si>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</si>
  <si>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</si>
  <si>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</si>
  <si>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</si>
  <si>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</si>
  <si>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</si>
  <si>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</si>
  <si>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</si>
  <si>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</si>
  <si>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</si>
  <si>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</si>
  <si>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</si>
  <si>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</si>
  <si>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</si>
  <si>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</si>
  <si>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</si>
  <si>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</si>
  <si>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</si>
  <si>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</si>
  <si>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</si>
  <si>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</si>
  <si>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</si>
  <si>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</si>
  <si>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</si>
  <si>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</si>
  <si>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</si>
  <si>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</si>
  <si>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</si>
  <si>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</si>
  <si>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</si>
  <si>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</si>
  <si>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</si>
  <si>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</si>
  <si>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</si>
  <si>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</si>
  <si>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</si>
  <si>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</si>
  <si>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</si>
  <si>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</si>
  <si>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</si>
  <si>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</si>
  <si>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</si>
  <si>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</si>
  <si>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</si>
  <si>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</si>
  <si>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</si>
  <si>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</si>
  <si>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</si>
  <si>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</si>
  <si>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</si>
  <si>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</si>
  <si>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</si>
  <si>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</si>
  <si>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</si>
  <si>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</si>
  <si>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</si>
  <si>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</si>
  <si>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</si>
  <si>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</si>
  <si>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</si>
  <si>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</si>
  <si>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</si>
  <si>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</si>
  <si>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</si>
  <si>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</si>
  <si>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</si>
  <si>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</si>
  <si>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</si>
  <si>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</si>
  <si>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</si>
  <si>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</si>
  <si>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</si>
  <si>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</si>
  <si>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</si>
  <si>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</si>
  <si>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</si>
  <si>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</si>
  <si>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</si>
  <si>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</si>
  <si>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</si>
  <si>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</si>
  <si>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</si>
  <si>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</si>
  <si>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</si>
  <si>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</si>
  <si>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</si>
  <si>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</si>
  <si>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</si>
  <si>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</si>
  <si>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</si>
  <si>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</si>
  <si>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</si>
  <si>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</si>
  <si>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</si>
  <si>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</si>
  <si>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</si>
  <si>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</si>
  <si>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</si>
  <si>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</si>
  <si>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</si>
  <si>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</si>
  <si>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</si>
  <si>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</si>
  <si>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</si>
  <si>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</si>
  <si>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</si>
  <si>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</si>
  <si>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</si>
  <si>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</si>
  <si>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</si>
  <si>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</si>
  <si>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</si>
  <si>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</si>
  <si>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</si>
  <si>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</si>
  <si>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</si>
  <si>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</si>
  <si>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</si>
  <si>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</si>
  <si>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</si>
  <si>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</si>
  <si>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</si>
  <si>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</si>
  <si>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</si>
  <si>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</si>
  <si>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</si>
  <si>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</si>
  <si>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</si>
  <si>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</si>
  <si>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</si>
  <si>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</si>
  <si>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</si>
  <si>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</si>
  <si>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</si>
  <si>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</si>
  <si>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</si>
  <si>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</si>
  <si>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</si>
  <si>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</si>
  <si>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</si>
  <si>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</si>
  <si>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</si>
  <si>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</si>
  <si>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</si>
  <si>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</si>
  <si>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</si>
  <si>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</si>
  <si>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</si>
  <si>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</si>
  <si>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</si>
  <si>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</si>
  <si>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</si>
  <si>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</si>
  <si>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</si>
  <si>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</si>
  <si>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</si>
  <si>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</si>
  <si>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</si>
  <si>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</si>
  <si>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</si>
  <si>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</si>
  <si>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</si>
  <si>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</si>
  <si>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</si>
  <si>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</si>
  <si>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</si>
  <si>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</si>
  <si>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</si>
  <si>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</si>
  <si>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</si>
  <si>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</si>
  <si>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</si>
  <si>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</si>
  <si>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</si>
  <si>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</si>
  <si>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</si>
  <si>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</si>
  <si>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</si>
  <si>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</si>
  <si>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</si>
  <si>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</si>
  <si>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</si>
  <si>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</si>
  <si>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</si>
  <si>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</si>
  <si>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</si>
  <si>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</si>
  <si>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</si>
  <si>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</si>
  <si>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</si>
  <si>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</si>
  <si>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</si>
  <si>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</si>
  <si>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</si>
  <si>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</si>
  <si>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</si>
  <si>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</si>
  <si>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</si>
  <si>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</si>
  <si>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</si>
  <si>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</si>
  <si>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</si>
  <si>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</si>
  <si>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</si>
  <si>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</si>
  <si>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</si>
  <si>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</si>
  <si>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</si>
  <si>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</si>
  <si>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</si>
  <si>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</si>
  <si>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</si>
  <si>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</si>
  <si>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</si>
  <si>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</si>
  <si>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</si>
  <si>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</si>
  <si>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</si>
  <si>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</si>
  <si>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</si>
  <si>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</si>
  <si>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</si>
  <si>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</si>
  <si>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</si>
  <si>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</si>
  <si>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</si>
  <si>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</si>
  <si>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</si>
  <si>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</si>
  <si>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</si>
  <si>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</si>
  <si>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</si>
  <si>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</si>
  <si>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</si>
  <si>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</si>
  <si>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</si>
  <si>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</si>
  <si>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</si>
  <si>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</si>
  <si>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</si>
  <si>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</si>
  <si>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</si>
  <si>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</si>
  <si>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</si>
  <si>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</si>
  <si>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</si>
  <si>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</si>
  <si>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</si>
  <si>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</si>
  <si>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</si>
  <si>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</si>
  <si>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</si>
  <si>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</si>
  <si>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</si>
  <si>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</si>
  <si>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</si>
  <si>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</si>
  <si>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</si>
  <si>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</si>
  <si>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</si>
  <si>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</si>
  <si>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</si>
  <si>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</si>
  <si>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</si>
  <si>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</si>
  <si>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</si>
  <si>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</si>
  <si>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</si>
  <si>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</si>
  <si>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</si>
  <si>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</si>
  <si>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</si>
  <si>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</si>
  <si>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</si>
  <si>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</si>
  <si>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</si>
  <si>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</si>
  <si>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</si>
  <si>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</si>
  <si>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</si>
  <si>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</si>
  <si>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</si>
  <si>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</si>
  <si>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</si>
  <si>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</si>
  <si>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</si>
  <si>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</si>
  <si>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</si>
  <si>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</si>
  <si>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</si>
  <si>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</si>
  <si>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</si>
  <si>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</si>
  <si>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</si>
  <si>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</si>
  <si>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</si>
  <si>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</si>
  <si>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</si>
  <si>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</si>
  <si>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</si>
  <si>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</si>
  <si>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</si>
  <si>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</si>
  <si>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</si>
  <si>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</si>
  <si>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</si>
  <si>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</si>
  <si>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</si>
  <si>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</si>
  <si>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</si>
  <si>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</si>
  <si>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</si>
  <si>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</si>
  <si>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</si>
  <si>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</si>
  <si>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</si>
  <si>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</si>
  <si>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</si>
  <si>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</si>
  <si>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</si>
  <si>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</si>
  <si>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</si>
  <si>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</si>
  <si>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</si>
  <si>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</si>
  <si>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</si>
  <si>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</si>
  <si>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</si>
  <si>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</si>
  <si>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</si>
  <si>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</si>
  <si>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</si>
  <si>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</si>
  <si>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</si>
  <si>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</si>
  <si>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</si>
  <si>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</si>
  <si>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</si>
  <si>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</si>
  <si>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</si>
  <si>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</si>
  <si>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</si>
  <si>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</si>
  <si>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</si>
  <si>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</si>
  <si>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</si>
  <si>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</si>
  <si>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</si>
  <si>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</si>
  <si>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</si>
  <si>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</si>
  <si>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</si>
  <si>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</si>
  <si>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</si>
  <si>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</si>
  <si>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</si>
  <si>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</si>
  <si>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</si>
  <si>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</si>
  <si>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</si>
  <si>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</si>
  <si>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</si>
  <si>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</si>
  <si>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</si>
  <si>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</si>
  <si>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</si>
  <si>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</si>
  <si>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</si>
  <si>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</si>
  <si>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</si>
  <si>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</si>
  <si>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</si>
  <si>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</si>
  <si>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</si>
  <si>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</si>
  <si>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</si>
  <si>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</si>
  <si>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</si>
  <si>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</si>
  <si>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</si>
  <si>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</si>
  <si>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</si>
  <si>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</si>
  <si>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</si>
  <si>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</si>
  <si>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</si>
  <si>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</si>
  <si>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</si>
  <si>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</si>
  <si>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</si>
  <si>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</si>
  <si>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</si>
  <si>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</si>
  <si>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</si>
  <si>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</si>
  <si>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</si>
  <si>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</si>
  <si>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</si>
  <si>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</si>
  <si>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</si>
  <si>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</si>
  <si>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</si>
  <si>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</si>
  <si>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</si>
  <si>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</si>
  <si>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</si>
  <si>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</si>
  <si>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</si>
  <si>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</si>
  <si>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</si>
  <si>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</si>
  <si>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</si>
  <si>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</si>
  <si>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</si>
  <si>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</si>
  <si>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MAQUINA PERFILAR GUIA U</t>
  </si>
  <si>
    <t>MÁQUINA PERFILAR</t>
  </si>
  <si>
    <t>ESPELHO</t>
  </si>
  <si>
    <t>MAQUINÁRIO</t>
  </si>
  <si>
    <t>61.377.063 GUSTAVO SOUZA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</si>
</sst>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3" xfId="0" applyBorder="1"/>
    <xf numFmtId="0" fontId="0" fillId="0" borderId="4" xfId="0" applyFont="1" applyBorder="1"/>
    <xf numFmtId="0" fontId="1" fillId="0" borderId="0" xfId="1" applyNumberFormat="1"/>
    <xf numFmtId="9" fontId="0" fillId="0" borderId="0" xfId="2" applyNumberFormat="1" applyFont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7124" totalsRowShown="0">
  <autoFilter ref="A1:L712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910" totalsRowShown="0" dataDxfId="9" dataCellStyle="Moeda 2">
  <autoFilter ref="A1:M910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7124"/>
  <sheetViews>
    <sheetView tabSelected="1" zoomScale="85" zoomScaleNormal="85" workbookViewId="0">
      <selection activeCell="C16" sqref="C16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5546875" style="13" bestFit="1" customWidth="1"/>
    <col min="8" max="8" width="15.8867187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  <row r="6545" spans="2:12" x14ac:dyDescent="0.3">
      <c r="B6545" t="s">
        <v>236</v>
      </c>
      <c r="C6545" s="26" t="str">
        <f>VLOOKUP(Tabela1[[#This Row],[Cliente]],'BASE DE CLIENTES'!A:E,2,0)</f>
        <v>Goiânia</v>
      </c>
      <c r="D6545" s="26" t="str">
        <f>VLOOKUP(Tabela1[[#This Row],[Cliente]],'BASE DE CLIENTES'!A:C,3,0)</f>
        <v>GO</v>
      </c>
      <c r="E6545" s="26" t="str">
        <f>CONCATENATE(Tabela1[[#This Row],[CIDADE]],",",Tabela1[[#This Row],[UF]])</f>
        <v>Goiânia,GO</v>
      </c>
      <c r="F6545" s="12">
        <v>46234</v>
      </c>
      <c r="G6545" s="14">
        <v>380</v>
      </c>
      <c r="H6545" s="13">
        <v>520</v>
      </c>
      <c r="I6545" s="7">
        <f>Tabela1[[#This Row],[Valor total]]-Tabela1[[#This Row],[Valor custo]]</f>
        <v>140</v>
      </c>
      <c r="J6545" s="27">
        <f>Tabela1[[#This Row],[MARGEM BRUTA]]/Tabela1[[#This Row],[Valor total]]</f>
        <v>0.26923076923076922</v>
      </c>
      <c r="K6545" s="26" t="str">
        <f>VLOOKUP(Tabela1[[#This Row],[Cliente]],'BASE DE CLIENTES'!A:D,4,0)</f>
        <v>EMPRESA COM MAQUINA</v>
      </c>
      <c r="L6545" s="26" t="str">
        <f>VLOOKUP(Tabela1[[#This Row],[Cliente]],'BASE DE CLIENTES'!A:E,5,0)</f>
        <v>Goiânia</v>
      </c>
    </row>
    <row r="6546" spans="2:12" x14ac:dyDescent="0.3">
      <c r="B6546" t="s">
        <v>236</v>
      </c>
      <c r="C6546" s="26" t="str">
        <f>VLOOKUP(Tabela1[[#This Row],[Cliente]],'BASE DE CLIENTES'!A:E,2,0)</f>
        <v>Goiânia</v>
      </c>
      <c r="D6546" s="26" t="str">
        <f>VLOOKUP(Tabela1[[#This Row],[Cliente]],'BASE DE CLIENTES'!A:C,3,0)</f>
        <v>GO</v>
      </c>
      <c r="E6546" s="26" t="str">
        <f>CONCATENATE(Tabela1[[#This Row],[CIDADE]],",",Tabela1[[#This Row],[UF]])</f>
        <v>Goiânia,GO</v>
      </c>
      <c r="F6546" s="12">
        <v>46234</v>
      </c>
      <c r="G6546" s="14">
        <v>2187.16</v>
      </c>
      <c r="H6546" s="13">
        <v>3160</v>
      </c>
      <c r="I6546" s="7">
        <f>Tabela1[[#This Row],[Valor total]]-Tabela1[[#This Row],[Valor custo]]</f>
        <v>972.84000000000015</v>
      </c>
      <c r="J6546" s="27">
        <f>Tabela1[[#This Row],[MARGEM BRUTA]]/Tabela1[[#This Row],[Valor total]]</f>
        <v>0.30786075949367092</v>
      </c>
      <c r="K6546" s="26" t="str">
        <f>VLOOKUP(Tabela1[[#This Row],[Cliente]],'BASE DE CLIENTES'!A:D,4,0)</f>
        <v>EMPRESA COM MAQUINA</v>
      </c>
      <c r="L6546" s="26" t="str">
        <f>VLOOKUP(Tabela1[[#This Row],[Cliente]],'BASE DE CLIENTES'!A:E,5,0)</f>
        <v>Goiânia</v>
      </c>
    </row>
    <row r="6547" spans="2:12" x14ac:dyDescent="0.3">
      <c r="B6547" t="s">
        <v>154</v>
      </c>
      <c r="C6547" s="26" t="str">
        <f>VLOOKUP(Tabela1[[#This Row],[Cliente]],'BASE DE CLIENTES'!A:E,2,0)</f>
        <v>Aparecida de Goiânia</v>
      </c>
      <c r="D6547" s="26" t="str">
        <f>VLOOKUP(Tabela1[[#This Row],[Cliente]],'BASE DE CLIENTES'!A:C,3,0)</f>
        <v>GO</v>
      </c>
      <c r="E6547" s="26" t="str">
        <f>CONCATENATE(Tabela1[[#This Row],[CIDADE]],",",Tabela1[[#This Row],[UF]])</f>
        <v>Aparecida de Goiânia,GO</v>
      </c>
      <c r="F6547" s="12">
        <v>46233</v>
      </c>
      <c r="G6547" s="14">
        <v>91.2</v>
      </c>
      <c r="H6547" s="13">
        <v>140</v>
      </c>
      <c r="I6547" s="7">
        <f>Tabela1[[#This Row],[Valor total]]-Tabela1[[#This Row],[Valor custo]]</f>
        <v>48.8</v>
      </c>
      <c r="J6547" s="27">
        <f>Tabela1[[#This Row],[MARGEM BRUTA]]/Tabela1[[#This Row],[Valor total]]</f>
        <v>0.34857142857142853</v>
      </c>
      <c r="K6547" s="26" t="str">
        <f>VLOOKUP(Tabela1[[#This Row],[Cliente]],'BASE DE CLIENTES'!A:D,4,0)</f>
        <v>TECNICO</v>
      </c>
      <c r="L6547" s="26" t="str">
        <f>VLOOKUP(Tabela1[[#This Row],[Cliente]],'BASE DE CLIENTES'!A:E,5,0)</f>
        <v>Aparecida de Goiânia</v>
      </c>
    </row>
    <row r="6548" spans="2:12" x14ac:dyDescent="0.3">
      <c r="B6548" t="s">
        <v>236</v>
      </c>
      <c r="C6548" s="26" t="str">
        <f>VLOOKUP(Tabela1[[#This Row],[Cliente]],'BASE DE CLIENTES'!A:E,2,0)</f>
        <v>Goiânia</v>
      </c>
      <c r="D6548" s="26" t="str">
        <f>VLOOKUP(Tabela1[[#This Row],[Cliente]],'BASE DE CLIENTES'!A:C,3,0)</f>
        <v>GO</v>
      </c>
      <c r="E6548" s="26" t="str">
        <f>CONCATENATE(Tabela1[[#This Row],[CIDADE]],",",Tabela1[[#This Row],[UF]])</f>
        <v>Goiânia,GO</v>
      </c>
      <c r="F6548" s="12">
        <v>46233</v>
      </c>
      <c r="G6548" s="14">
        <v>2948.34</v>
      </c>
      <c r="H6548" s="13">
        <v>4320</v>
      </c>
      <c r="I6548" s="7">
        <f>Tabela1[[#This Row],[Valor total]]-Tabela1[[#This Row],[Valor custo]]</f>
        <v>1371.6599999999999</v>
      </c>
      <c r="J6548" s="27">
        <f>Tabela1[[#This Row],[MARGEM BRUTA]]/Tabela1[[#This Row],[Valor total]]</f>
        <v>0.31751388888888887</v>
      </c>
      <c r="K6548" s="26" t="str">
        <f>VLOOKUP(Tabela1[[#This Row],[Cliente]],'BASE DE CLIENTES'!A:D,4,0)</f>
        <v>EMPRESA COM MAQUINA</v>
      </c>
      <c r="L6548" s="26" t="str">
        <f>VLOOKUP(Tabela1[[#This Row],[Cliente]],'BASE DE CLIENTES'!A:E,5,0)</f>
        <v>Goiânia</v>
      </c>
    </row>
    <row r="6549" spans="2:12" x14ac:dyDescent="0.3">
      <c r="B6549" t="s">
        <v>152</v>
      </c>
      <c r="C6549" s="26" t="str">
        <f>VLOOKUP(Tabela1[[#This Row],[Cliente]],'BASE DE CLIENTES'!A:E,2,0)</f>
        <v>Aparecida de Goiânia</v>
      </c>
      <c r="D6549" s="26" t="str">
        <f>VLOOKUP(Tabela1[[#This Row],[Cliente]],'BASE DE CLIENTES'!A:C,3,0)</f>
        <v>GO</v>
      </c>
      <c r="E6549" s="26" t="str">
        <f>CONCATENATE(Tabela1[[#This Row],[CIDADE]],",",Tabela1[[#This Row],[UF]])</f>
        <v>Aparecida de Goiânia,GO</v>
      </c>
      <c r="F6549" s="12">
        <v>46232</v>
      </c>
      <c r="G6549" s="14">
        <v>380</v>
      </c>
      <c r="H6549" s="13">
        <v>510</v>
      </c>
      <c r="I6549" s="7">
        <f>Tabela1[[#This Row],[Valor total]]-Tabela1[[#This Row],[Valor custo]]</f>
        <v>130</v>
      </c>
      <c r="J6549" s="27">
        <f>Tabela1[[#This Row],[MARGEM BRUTA]]/Tabela1[[#This Row],[Valor total]]</f>
        <v>0.25490196078431371</v>
      </c>
      <c r="K6549" s="26" t="str">
        <f>VLOOKUP(Tabela1[[#This Row],[Cliente]],'BASE DE CLIENTES'!A:D,4,0)</f>
        <v>TECNICO</v>
      </c>
      <c r="L6549" s="26" t="str">
        <f>VLOOKUP(Tabela1[[#This Row],[Cliente]],'BASE DE CLIENTES'!A:E,5,0)</f>
        <v>Aparecida de Goiânia</v>
      </c>
    </row>
    <row r="6550" spans="2:12" x14ac:dyDescent="0.3">
      <c r="B6550" t="s">
        <v>152</v>
      </c>
      <c r="C6550" s="26" t="str">
        <f>VLOOKUP(Tabela1[[#This Row],[Cliente]],'BASE DE CLIENTES'!A:E,2,0)</f>
        <v>Aparecida de Goiânia</v>
      </c>
      <c r="D6550" s="26" t="str">
        <f>VLOOKUP(Tabela1[[#This Row],[Cliente]],'BASE DE CLIENTES'!A:C,3,0)</f>
        <v>GO</v>
      </c>
      <c r="E6550" s="26" t="str">
        <f>CONCATENATE(Tabela1[[#This Row],[CIDADE]],",",Tabela1[[#This Row],[UF]])</f>
        <v>Aparecida de Goiânia,GO</v>
      </c>
      <c r="F6550" s="12">
        <v>46232</v>
      </c>
      <c r="G6550" s="14">
        <v>670</v>
      </c>
      <c r="H6550" s="13">
        <v>1050</v>
      </c>
      <c r="I6550" s="7">
        <f>Tabela1[[#This Row],[Valor total]]-Tabela1[[#This Row],[Valor custo]]</f>
        <v>380</v>
      </c>
      <c r="J6550" s="27">
        <f>Tabela1[[#This Row],[MARGEM BRUTA]]/Tabela1[[#This Row],[Valor total]]</f>
        <v>0.3619047619047619</v>
      </c>
      <c r="K6550" s="26" t="str">
        <f>VLOOKUP(Tabela1[[#This Row],[Cliente]],'BASE DE CLIENTES'!A:D,4,0)</f>
        <v>TECNICO</v>
      </c>
      <c r="L6550" s="26" t="str">
        <f>VLOOKUP(Tabela1[[#This Row],[Cliente]],'BASE DE CLIENTES'!A:E,5,0)</f>
        <v>Aparecida de Goiânia</v>
      </c>
    </row>
    <row r="6551" spans="2:12" x14ac:dyDescent="0.3">
      <c r="B6551" t="s">
        <v>236</v>
      </c>
      <c r="C6551" s="26" t="str">
        <f>VLOOKUP(Tabela1[[#This Row],[Cliente]],'BASE DE CLIENTES'!A:E,2,0)</f>
        <v>Goiânia</v>
      </c>
      <c r="D6551" s="26" t="str">
        <f>VLOOKUP(Tabela1[[#This Row],[Cliente]],'BASE DE CLIENTES'!A:C,3,0)</f>
        <v>GO</v>
      </c>
      <c r="E6551" s="26" t="str">
        <f>CONCATENATE(Tabela1[[#This Row],[CIDADE]],",",Tabela1[[#This Row],[UF]])</f>
        <v>Goiânia,GO</v>
      </c>
      <c r="F6551" s="12">
        <v>46232</v>
      </c>
      <c r="G6551" s="14">
        <v>1468.89</v>
      </c>
      <c r="H6551" s="13">
        <v>1900</v>
      </c>
      <c r="I6551" s="7">
        <f>Tabela1[[#This Row],[Valor total]]-Tabela1[[#This Row],[Valor custo]]</f>
        <v>431.1099999999999</v>
      </c>
      <c r="J6551" s="27">
        <f>Tabela1[[#This Row],[MARGEM BRUTA]]/Tabela1[[#This Row],[Valor total]]</f>
        <v>0.22689999999999994</v>
      </c>
      <c r="K6551" s="26" t="str">
        <f>VLOOKUP(Tabela1[[#This Row],[Cliente]],'BASE DE CLIENTES'!A:D,4,0)</f>
        <v>EMPRESA COM MAQUINA</v>
      </c>
      <c r="L6551" s="26" t="str">
        <f>VLOOKUP(Tabela1[[#This Row],[Cliente]],'BASE DE CLIENTES'!A:E,5,0)</f>
        <v>Goiânia</v>
      </c>
    </row>
    <row r="6552" spans="2:12" x14ac:dyDescent="0.3">
      <c r="B6552" t="s">
        <v>378</v>
      </c>
      <c r="C6552" s="26" t="str">
        <f>VLOOKUP(Tabela1[[#This Row],[Cliente]],'BASE DE CLIENTES'!A:E,2,0)</f>
        <v>Aparecida de Goiânia</v>
      </c>
      <c r="D6552" s="26" t="str">
        <f>VLOOKUP(Tabela1[[#This Row],[Cliente]],'BASE DE CLIENTES'!A:C,3,0)</f>
        <v>GO</v>
      </c>
      <c r="E6552" s="26" t="str">
        <f>CONCATENATE(Tabela1[[#This Row],[CIDADE]],",",Tabela1[[#This Row],[UF]])</f>
        <v>Aparecida de Goiânia,GO</v>
      </c>
      <c r="F6552" s="12">
        <v>46231</v>
      </c>
      <c r="G6552" s="14">
        <v>949.87</v>
      </c>
      <c r="H6552" s="13">
        <v>1560</v>
      </c>
      <c r="I6552" s="7">
        <f>Tabela1[[#This Row],[Valor total]]-Tabela1[[#This Row],[Valor custo]]</f>
        <v>610.13</v>
      </c>
      <c r="J6552" s="27">
        <f>Tabela1[[#This Row],[MARGEM BRUTA]]/Tabela1[[#This Row],[Valor total]]</f>
        <v>0.39110897435897435</v>
      </c>
      <c r="K6552" s="26" t="str">
        <f>VLOOKUP(Tabela1[[#This Row],[Cliente]],'BASE DE CLIENTES'!A:D,4,0)</f>
        <v>EMPRESA COM MAQUINA</v>
      </c>
      <c r="L6552" s="26" t="str">
        <f>VLOOKUP(Tabela1[[#This Row],[Cliente]],'BASE DE CLIENTES'!A:E,5,0)</f>
        <v>Aparecida de Goiânia</v>
      </c>
    </row>
    <row r="6553" spans="2:12" x14ac:dyDescent="0.3">
      <c r="B6553" t="s">
        <v>152</v>
      </c>
      <c r="C6553" s="26" t="str">
        <f>VLOOKUP(Tabela1[[#This Row],[Cliente]],'BASE DE CLIENTES'!A:E,2,0)</f>
        <v>Aparecida de Goiânia</v>
      </c>
      <c r="D6553" s="26" t="str">
        <f>VLOOKUP(Tabela1[[#This Row],[Cliente]],'BASE DE CLIENTES'!A:C,3,0)</f>
        <v>GO</v>
      </c>
      <c r="E6553" s="26" t="str">
        <f>CONCATENATE(Tabela1[[#This Row],[CIDADE]],",",Tabela1[[#This Row],[UF]])</f>
        <v>Aparecida de Goiânia,GO</v>
      </c>
      <c r="F6553" s="12">
        <v>46227</v>
      </c>
      <c r="G6553" s="14">
        <v>546.79</v>
      </c>
      <c r="H6553" s="13">
        <v>790</v>
      </c>
      <c r="I6553" s="7">
        <f>Tabela1[[#This Row],[Valor total]]-Tabela1[[#This Row],[Valor custo]]</f>
        <v>243.21000000000004</v>
      </c>
      <c r="J6553" s="27">
        <f>Tabela1[[#This Row],[MARGEM BRUTA]]/Tabela1[[#This Row],[Valor total]]</f>
        <v>0.30786075949367092</v>
      </c>
      <c r="K6553" s="26" t="str">
        <f>VLOOKUP(Tabela1[[#This Row],[Cliente]],'BASE DE CLIENTES'!A:D,4,0)</f>
        <v>TECNICO</v>
      </c>
      <c r="L6553" s="26" t="str">
        <f>VLOOKUP(Tabela1[[#This Row],[Cliente]],'BASE DE CLIENTES'!A:E,5,0)</f>
        <v>Aparecida de Goiânia</v>
      </c>
    </row>
    <row r="6554" spans="2:12" x14ac:dyDescent="0.3">
      <c r="B6554" t="s">
        <v>378</v>
      </c>
      <c r="C6554" s="26" t="str">
        <f>VLOOKUP(Tabela1[[#This Row],[Cliente]],'BASE DE CLIENTES'!A:E,2,0)</f>
        <v>Aparecida de Goiânia</v>
      </c>
      <c r="D6554" s="26" t="str">
        <f>VLOOKUP(Tabela1[[#This Row],[Cliente]],'BASE DE CLIENTES'!A:C,3,0)</f>
        <v>GO</v>
      </c>
      <c r="E6554" s="26" t="str">
        <f>CONCATENATE(Tabela1[[#This Row],[CIDADE]],",",Tabela1[[#This Row],[UF]])</f>
        <v>Aparecida de Goiânia,GO</v>
      </c>
      <c r="F6554" s="12">
        <v>46226</v>
      </c>
      <c r="G6554" s="14">
        <v>1955.07</v>
      </c>
      <c r="H6554" s="13">
        <v>2710</v>
      </c>
      <c r="I6554" s="7">
        <f>Tabela1[[#This Row],[Valor total]]-Tabela1[[#This Row],[Valor custo]]</f>
        <v>754.93000000000006</v>
      </c>
      <c r="J6554" s="27">
        <f>Tabela1[[#This Row],[MARGEM BRUTA]]/Tabela1[[#This Row],[Valor total]]</f>
        <v>0.27857195571955723</v>
      </c>
      <c r="K6554" s="26" t="str">
        <f>VLOOKUP(Tabela1[[#This Row],[Cliente]],'BASE DE CLIENTES'!A:D,4,0)</f>
        <v>EMPRESA COM MAQUINA</v>
      </c>
      <c r="L6554" s="26" t="str">
        <f>VLOOKUP(Tabela1[[#This Row],[Cliente]],'BASE DE CLIENTES'!A:E,5,0)</f>
        <v>Aparecida de Goiânia</v>
      </c>
    </row>
    <row r="6555" spans="2:12" x14ac:dyDescent="0.3">
      <c r="B6555" t="s">
        <v>183</v>
      </c>
      <c r="C6555" s="26" t="str">
        <f>VLOOKUP(Tabela1[[#This Row],[Cliente]],'BASE DE CLIENTES'!A:E,2,0)</f>
        <v>Caldas Novas</v>
      </c>
      <c r="D6555" s="26" t="str">
        <f>VLOOKUP(Tabela1[[#This Row],[Cliente]],'BASE DE CLIENTES'!A:C,3,0)</f>
        <v>GO</v>
      </c>
      <c r="E6555" s="26" t="str">
        <f>CONCATENATE(Tabela1[[#This Row],[CIDADE]],",",Tabela1[[#This Row],[UF]])</f>
        <v>Caldas Novas,GO</v>
      </c>
      <c r="F6555" s="12">
        <v>46225</v>
      </c>
      <c r="G6555" s="14">
        <v>1939</v>
      </c>
      <c r="H6555" s="13">
        <v>3030</v>
      </c>
      <c r="I6555" s="7">
        <f>Tabela1[[#This Row],[Valor total]]-Tabela1[[#This Row],[Valor custo]]</f>
        <v>1091</v>
      </c>
      <c r="J6555" s="27">
        <f>Tabela1[[#This Row],[MARGEM BRUTA]]/Tabela1[[#This Row],[Valor total]]</f>
        <v>0.36006600660066007</v>
      </c>
      <c r="K6555" s="26" t="str">
        <f>VLOOKUP(Tabela1[[#This Row],[Cliente]],'BASE DE CLIENTES'!A:D,4,0)</f>
        <v>EMPRESA COM MAQUINA</v>
      </c>
      <c r="L6555" s="26" t="str">
        <f>VLOOKUP(Tabela1[[#This Row],[Cliente]],'BASE DE CLIENTES'!A:E,5,0)</f>
        <v>Caldas Novas</v>
      </c>
    </row>
    <row r="6556" spans="2:12" x14ac:dyDescent="0.3">
      <c r="B6556" t="s">
        <v>197</v>
      </c>
      <c r="C6556" s="26" t="str">
        <f>VLOOKUP(Tabela1[[#This Row],[Cliente]],'BASE DE CLIENTES'!A:E,2,0)</f>
        <v>Goiânia</v>
      </c>
      <c r="D6556" s="26" t="str">
        <f>VLOOKUP(Tabela1[[#This Row],[Cliente]],'BASE DE CLIENTES'!A:C,3,0)</f>
        <v>GO</v>
      </c>
      <c r="E6556" s="26" t="str">
        <f>CONCATENATE(Tabela1[[#This Row],[CIDADE]],",",Tabela1[[#This Row],[UF]])</f>
        <v>Goiânia,GO</v>
      </c>
      <c r="F6556" s="12">
        <v>46225</v>
      </c>
      <c r="G6556" s="14">
        <v>987.58</v>
      </c>
      <c r="H6556" s="13">
        <v>1700</v>
      </c>
      <c r="I6556" s="7">
        <f>Tabela1[[#This Row],[Valor total]]-Tabela1[[#This Row],[Valor custo]]</f>
        <v>712.42</v>
      </c>
      <c r="J6556" s="27">
        <f>Tabela1[[#This Row],[MARGEM BRUTA]]/Tabela1[[#This Row],[Valor total]]</f>
        <v>0.41907058823529408</v>
      </c>
      <c r="K6556" s="26" t="str">
        <f>VLOOKUP(Tabela1[[#This Row],[Cliente]],'BASE DE CLIENTES'!A:D,4,0)</f>
        <v>EMPRESA COM MAQUINA</v>
      </c>
      <c r="L6556" s="26" t="str">
        <f>VLOOKUP(Tabela1[[#This Row],[Cliente]],'BASE DE CLIENTES'!A:E,5,0)</f>
        <v>Goiânia</v>
      </c>
    </row>
    <row r="6557" spans="2:12" x14ac:dyDescent="0.3">
      <c r="B6557" t="s">
        <v>152</v>
      </c>
      <c r="C6557" s="26" t="str">
        <f>VLOOKUP(Tabela1[[#This Row],[Cliente]],'BASE DE CLIENTES'!A:E,2,0)</f>
        <v>Aparecida de Goiânia</v>
      </c>
      <c r="D6557" s="26" t="str">
        <f>VLOOKUP(Tabela1[[#This Row],[Cliente]],'BASE DE CLIENTES'!A:C,3,0)</f>
        <v>GO</v>
      </c>
      <c r="E6557" s="26" t="str">
        <f>CONCATENATE(Tabela1[[#This Row],[CIDADE]],",",Tabela1[[#This Row],[UF]])</f>
        <v>Aparecida de Goiânia,GO</v>
      </c>
      <c r="F6557" s="12">
        <v>46225</v>
      </c>
      <c r="G6557" s="14">
        <v>380</v>
      </c>
      <c r="H6557" s="13">
        <v>670</v>
      </c>
      <c r="I6557" s="7">
        <f>Tabela1[[#This Row],[Valor total]]-Tabela1[[#This Row],[Valor custo]]</f>
        <v>290</v>
      </c>
      <c r="J6557" s="27">
        <f>Tabela1[[#This Row],[MARGEM BRUTA]]/Tabela1[[#This Row],[Valor total]]</f>
        <v>0.43283582089552236</v>
      </c>
      <c r="K6557" s="26" t="str">
        <f>VLOOKUP(Tabela1[[#This Row],[Cliente]],'BASE DE CLIENTES'!A:D,4,0)</f>
        <v>TECNICO</v>
      </c>
      <c r="L6557" s="26" t="str">
        <f>VLOOKUP(Tabela1[[#This Row],[Cliente]],'BASE DE CLIENTES'!A:E,5,0)</f>
        <v>Aparecida de Goiânia</v>
      </c>
    </row>
    <row r="6558" spans="2:12" x14ac:dyDescent="0.3">
      <c r="B6558" t="s">
        <v>152</v>
      </c>
      <c r="C6558" s="26" t="str">
        <f>VLOOKUP(Tabela1[[#This Row],[Cliente]],'BASE DE CLIENTES'!A:E,2,0)</f>
        <v>Aparecida de Goiânia</v>
      </c>
      <c r="D6558" s="26" t="str">
        <f>VLOOKUP(Tabela1[[#This Row],[Cliente]],'BASE DE CLIENTES'!A:C,3,0)</f>
        <v>GO</v>
      </c>
      <c r="E6558" s="26" t="str">
        <f>CONCATENATE(Tabela1[[#This Row],[CIDADE]],",",Tabela1[[#This Row],[UF]])</f>
        <v>Aparecida de Goiânia,GO</v>
      </c>
      <c r="F6558" s="12">
        <v>46225</v>
      </c>
      <c r="G6558" s="14">
        <v>463.69</v>
      </c>
      <c r="H6558" s="13">
        <v>665</v>
      </c>
      <c r="I6558" s="7">
        <f>Tabela1[[#This Row],[Valor total]]-Tabela1[[#This Row],[Valor custo]]</f>
        <v>201.31</v>
      </c>
      <c r="J6558" s="27">
        <f>Tabela1[[#This Row],[MARGEM BRUTA]]/Tabela1[[#This Row],[Valor total]]</f>
        <v>0.30272180451127823</v>
      </c>
      <c r="K6558" s="26" t="str">
        <f>VLOOKUP(Tabela1[[#This Row],[Cliente]],'BASE DE CLIENTES'!A:D,4,0)</f>
        <v>TECNICO</v>
      </c>
      <c r="L6558" s="26" t="str">
        <f>VLOOKUP(Tabela1[[#This Row],[Cliente]],'BASE DE CLIENTES'!A:E,5,0)</f>
        <v>Aparecida de Goiânia</v>
      </c>
    </row>
    <row r="6559" spans="2:12" x14ac:dyDescent="0.3">
      <c r="B6559" t="s">
        <v>152</v>
      </c>
      <c r="C6559" s="26" t="str">
        <f>VLOOKUP(Tabela1[[#This Row],[Cliente]],'BASE DE CLIENTES'!A:E,2,0)</f>
        <v>Aparecida de Goiânia</v>
      </c>
      <c r="D6559" s="26" t="str">
        <f>VLOOKUP(Tabela1[[#This Row],[Cliente]],'BASE DE CLIENTES'!A:C,3,0)</f>
        <v>GO</v>
      </c>
      <c r="E6559" s="26" t="str">
        <f>CONCATENATE(Tabela1[[#This Row],[CIDADE]],",",Tabela1[[#This Row],[UF]])</f>
        <v>Aparecida de Goiânia,GO</v>
      </c>
      <c r="F6559" s="12">
        <v>46225</v>
      </c>
      <c r="G6559" s="14">
        <v>1519.15</v>
      </c>
      <c r="H6559" s="13">
        <v>2260</v>
      </c>
      <c r="I6559" s="7">
        <f>Tabela1[[#This Row],[Valor total]]-Tabela1[[#This Row],[Valor custo]]</f>
        <v>740.84999999999991</v>
      </c>
      <c r="J6559" s="27">
        <f>Tabela1[[#This Row],[MARGEM BRUTA]]/Tabela1[[#This Row],[Valor total]]</f>
        <v>0.32780973451327428</v>
      </c>
      <c r="K6559" s="26" t="str">
        <f>VLOOKUP(Tabela1[[#This Row],[Cliente]],'BASE DE CLIENTES'!A:D,4,0)</f>
        <v>TECNICO</v>
      </c>
      <c r="L6559" s="26" t="str">
        <f>VLOOKUP(Tabela1[[#This Row],[Cliente]],'BASE DE CLIENTES'!A:E,5,0)</f>
        <v>Aparecida de Goiânia</v>
      </c>
    </row>
    <row r="6560" spans="2:12" x14ac:dyDescent="0.3">
      <c r="B6560" t="s">
        <v>183</v>
      </c>
      <c r="C6560" s="26" t="str">
        <f>VLOOKUP(Tabela1[[#This Row],[Cliente]],'BASE DE CLIENTES'!A:E,2,0)</f>
        <v>Caldas Novas</v>
      </c>
      <c r="D6560" s="26" t="str">
        <f>VLOOKUP(Tabela1[[#This Row],[Cliente]],'BASE DE CLIENTES'!A:C,3,0)</f>
        <v>GO</v>
      </c>
      <c r="E6560" s="26" t="str">
        <f>CONCATENATE(Tabela1[[#This Row],[CIDADE]],",",Tabela1[[#This Row],[UF]])</f>
        <v>Caldas Novas,GO</v>
      </c>
      <c r="F6560" s="12">
        <v>46223</v>
      </c>
      <c r="G6560" s="14">
        <v>972.38</v>
      </c>
      <c r="H6560" s="13">
        <v>1350</v>
      </c>
      <c r="I6560" s="7">
        <f>Tabela1[[#This Row],[Valor total]]-Tabela1[[#This Row],[Valor custo]]</f>
        <v>377.62</v>
      </c>
      <c r="J6560" s="27">
        <f>Tabela1[[#This Row],[MARGEM BRUTA]]/Tabela1[[#This Row],[Valor total]]</f>
        <v>0.27971851851851853</v>
      </c>
      <c r="K6560" s="26" t="str">
        <f>VLOOKUP(Tabela1[[#This Row],[Cliente]],'BASE DE CLIENTES'!A:D,4,0)</f>
        <v>EMPRESA COM MAQUINA</v>
      </c>
      <c r="L6560" s="26" t="str">
        <f>VLOOKUP(Tabela1[[#This Row],[Cliente]],'BASE DE CLIENTES'!A:E,5,0)</f>
        <v>Caldas Novas</v>
      </c>
    </row>
    <row r="6561" spans="2:12" x14ac:dyDescent="0.3">
      <c r="B6561" t="s">
        <v>236</v>
      </c>
      <c r="C6561" s="26" t="str">
        <f>VLOOKUP(Tabela1[[#This Row],[Cliente]],'BASE DE CLIENTES'!A:E,2,0)</f>
        <v>Goiânia</v>
      </c>
      <c r="D6561" s="26" t="str">
        <f>VLOOKUP(Tabela1[[#This Row],[Cliente]],'BASE DE CLIENTES'!A:C,3,0)</f>
        <v>GO</v>
      </c>
      <c r="E6561" s="26" t="str">
        <f>CONCATENATE(Tabela1[[#This Row],[CIDADE]],",",Tabela1[[#This Row],[UF]])</f>
        <v>Goiânia,GO</v>
      </c>
      <c r="F6561" s="12">
        <v>46220</v>
      </c>
      <c r="G6561" s="14">
        <v>1468.89</v>
      </c>
      <c r="H6561" s="13">
        <v>1850</v>
      </c>
      <c r="I6561" s="7">
        <f>Tabela1[[#This Row],[Valor total]]-Tabela1[[#This Row],[Valor custo]]</f>
        <v>381.1099999999999</v>
      </c>
      <c r="J6561" s="27">
        <f>Tabela1[[#This Row],[MARGEM BRUTA]]/Tabela1[[#This Row],[Valor total]]</f>
        <v>0.20600540540540535</v>
      </c>
      <c r="K6561" s="26" t="str">
        <f>VLOOKUP(Tabela1[[#This Row],[Cliente]],'BASE DE CLIENTES'!A:D,4,0)</f>
        <v>EMPRESA COM MAQUINA</v>
      </c>
      <c r="L6561" s="26" t="str">
        <f>VLOOKUP(Tabela1[[#This Row],[Cliente]],'BASE DE CLIENTES'!A:E,5,0)</f>
        <v>Goiânia</v>
      </c>
    </row>
    <row r="6562" spans="2:12" x14ac:dyDescent="0.3">
      <c r="B6562" t="s">
        <v>276</v>
      </c>
      <c r="C6562" s="26" t="str">
        <f>VLOOKUP(Tabela1[[#This Row],[Cliente]],'BASE DE CLIENTES'!A:E,2,0)</f>
        <v>Parauapebas</v>
      </c>
      <c r="D6562" s="26" t="str">
        <f>VLOOKUP(Tabela1[[#This Row],[Cliente]],'BASE DE CLIENTES'!A:C,3,0)</f>
        <v>PA</v>
      </c>
      <c r="E6562" s="26" t="str">
        <f>CONCATENATE(Tabela1[[#This Row],[CIDADE]],",",Tabela1[[#This Row],[UF]])</f>
        <v>Parauapebas,PA</v>
      </c>
      <c r="F6562" s="12">
        <v>46205</v>
      </c>
      <c r="G6562" s="14">
        <v>228</v>
      </c>
      <c r="H6562" s="13">
        <v>750</v>
      </c>
      <c r="I6562" s="7">
        <f>Tabela1[[#This Row],[Valor total]]-Tabela1[[#This Row],[Valor custo]]</f>
        <v>522</v>
      </c>
      <c r="J6562" s="27">
        <f>Tabela1[[#This Row],[MARGEM BRUTA]]/Tabela1[[#This Row],[Valor total]]</f>
        <v>0.69599999999999995</v>
      </c>
      <c r="K6562" s="26" t="str">
        <f>VLOOKUP(Tabela1[[#This Row],[Cliente]],'BASE DE CLIENTES'!A:D,4,0)</f>
        <v>EMPRESA COM MAQUINA</v>
      </c>
      <c r="L6562" s="26" t="str">
        <f>VLOOKUP(Tabela1[[#This Row],[Cliente]],'BASE DE CLIENTES'!A:E,5,0)</f>
        <v>Parauapebas</v>
      </c>
    </row>
    <row r="6563" spans="2:12" x14ac:dyDescent="0.3">
      <c r="B6563" t="s">
        <v>152</v>
      </c>
      <c r="C6563" s="26" t="str">
        <f>VLOOKUP(Tabela1[[#This Row],[Cliente]],'BASE DE CLIENTES'!A:E,2,0)</f>
        <v>Aparecida de Goiânia</v>
      </c>
      <c r="D6563" s="26" t="str">
        <f>VLOOKUP(Tabela1[[#This Row],[Cliente]],'BASE DE CLIENTES'!A:C,3,0)</f>
        <v>GO</v>
      </c>
      <c r="E6563" s="26" t="str">
        <f>CONCATENATE(Tabela1[[#This Row],[CIDADE]],",",Tabela1[[#This Row],[UF]])</f>
        <v>Aparecida de Goiânia,GO</v>
      </c>
      <c r="F6563" s="12">
        <v>46219</v>
      </c>
      <c r="G6563" s="14">
        <v>486.18</v>
      </c>
      <c r="H6563" s="13">
        <v>715</v>
      </c>
      <c r="I6563" s="7">
        <f>Tabela1[[#This Row],[Valor total]]-Tabela1[[#This Row],[Valor custo]]</f>
        <v>228.82</v>
      </c>
      <c r="J6563" s="27">
        <f>Tabela1[[#This Row],[MARGEM BRUTA]]/Tabela1[[#This Row],[Valor total]]</f>
        <v>0.32002797202797201</v>
      </c>
      <c r="K6563" s="26" t="str">
        <f>VLOOKUP(Tabela1[[#This Row],[Cliente]],'BASE DE CLIENTES'!A:D,4,0)</f>
        <v>TECNICO</v>
      </c>
      <c r="L6563" s="26" t="str">
        <f>VLOOKUP(Tabela1[[#This Row],[Cliente]],'BASE DE CLIENTES'!A:E,5,0)</f>
        <v>Aparecida de Goiânia</v>
      </c>
    </row>
    <row r="6564" spans="2:12" x14ac:dyDescent="0.3">
      <c r="B6564" t="s">
        <v>152</v>
      </c>
      <c r="C6564" s="26" t="str">
        <f>VLOOKUP(Tabela1[[#This Row],[Cliente]],'BASE DE CLIENTES'!A:E,2,0)</f>
        <v>Aparecida de Goiânia</v>
      </c>
      <c r="D6564" s="26" t="str">
        <f>VLOOKUP(Tabela1[[#This Row],[Cliente]],'BASE DE CLIENTES'!A:C,3,0)</f>
        <v>GO</v>
      </c>
      <c r="E6564" s="26" t="str">
        <f>CONCATENATE(Tabela1[[#This Row],[CIDADE]],",",Tabela1[[#This Row],[UF]])</f>
        <v>Aparecida de Goiânia,GO</v>
      </c>
      <c r="F6564" s="12">
        <v>46219</v>
      </c>
      <c r="G6564" s="14">
        <v>972.36</v>
      </c>
      <c r="H6564" s="13">
        <v>1430</v>
      </c>
      <c r="I6564" s="7">
        <f>Tabela1[[#This Row],[Valor total]]-Tabela1[[#This Row],[Valor custo]]</f>
        <v>457.64</v>
      </c>
      <c r="J6564" s="27">
        <f>Tabela1[[#This Row],[MARGEM BRUTA]]/Tabela1[[#This Row],[Valor total]]</f>
        <v>0.32002797202797201</v>
      </c>
      <c r="K6564" s="26" t="str">
        <f>VLOOKUP(Tabela1[[#This Row],[Cliente]],'BASE DE CLIENTES'!A:D,4,0)</f>
        <v>TECNICO</v>
      </c>
      <c r="L6564" s="26" t="str">
        <f>VLOOKUP(Tabela1[[#This Row],[Cliente]],'BASE DE CLIENTES'!A:E,5,0)</f>
        <v>Aparecida de Goiânia</v>
      </c>
    </row>
    <row r="6565" spans="2:12" x14ac:dyDescent="0.3">
      <c r="B6565" t="s">
        <v>236</v>
      </c>
      <c r="C6565" s="26" t="str">
        <f>VLOOKUP(Tabela1[[#This Row],[Cliente]],'BASE DE CLIENTES'!A:E,2,0)</f>
        <v>Goiânia</v>
      </c>
      <c r="D6565" s="26" t="str">
        <f>VLOOKUP(Tabela1[[#This Row],[Cliente]],'BASE DE CLIENTES'!A:C,3,0)</f>
        <v>GO</v>
      </c>
      <c r="E6565" s="26" t="str">
        <f>CONCATENATE(Tabela1[[#This Row],[CIDADE]],",",Tabela1[[#This Row],[UF]])</f>
        <v>Goiânia,GO</v>
      </c>
      <c r="F6565" s="12">
        <v>46218</v>
      </c>
      <c r="G6565" s="14">
        <v>546.79</v>
      </c>
      <c r="H6565" s="13">
        <v>790</v>
      </c>
      <c r="I6565" s="7">
        <f>Tabela1[[#This Row],[Valor total]]-Tabela1[[#This Row],[Valor custo]]</f>
        <v>243.21000000000004</v>
      </c>
      <c r="J6565" s="27">
        <f>Tabela1[[#This Row],[MARGEM BRUTA]]/Tabela1[[#This Row],[Valor total]]</f>
        <v>0.30786075949367092</v>
      </c>
      <c r="K6565" s="26" t="str">
        <f>VLOOKUP(Tabela1[[#This Row],[Cliente]],'BASE DE CLIENTES'!A:D,4,0)</f>
        <v>EMPRESA COM MAQUINA</v>
      </c>
      <c r="L6565" s="26" t="str">
        <f>VLOOKUP(Tabela1[[#This Row],[Cliente]],'BASE DE CLIENTES'!A:E,5,0)</f>
        <v>Goiânia</v>
      </c>
    </row>
    <row r="6566" spans="2:12" x14ac:dyDescent="0.3">
      <c r="B6566" t="s">
        <v>152</v>
      </c>
      <c r="C6566" s="26" t="str">
        <f>VLOOKUP(Tabela1[[#This Row],[Cliente]],'BASE DE CLIENTES'!A:E,2,0)</f>
        <v>Aparecida de Goiânia</v>
      </c>
      <c r="D6566" s="26" t="str">
        <f>VLOOKUP(Tabela1[[#This Row],[Cliente]],'BASE DE CLIENTES'!A:C,3,0)</f>
        <v>GO</v>
      </c>
      <c r="E6566" s="26" t="str">
        <f>CONCATENATE(Tabela1[[#This Row],[CIDADE]],",",Tabela1[[#This Row],[UF]])</f>
        <v>Aparecida de Goiânia,GO</v>
      </c>
      <c r="F6566" s="12">
        <v>46217</v>
      </c>
      <c r="G6566" s="14">
        <v>546.79</v>
      </c>
      <c r="H6566" s="13">
        <v>790</v>
      </c>
      <c r="I6566" s="7">
        <f>Tabela1[[#This Row],[Valor total]]-Tabela1[[#This Row],[Valor custo]]</f>
        <v>243.21000000000004</v>
      </c>
      <c r="J6566" s="27">
        <f>Tabela1[[#This Row],[MARGEM BRUTA]]/Tabela1[[#This Row],[Valor total]]</f>
        <v>0.30786075949367092</v>
      </c>
      <c r="K6566" s="26" t="str">
        <f>VLOOKUP(Tabela1[[#This Row],[Cliente]],'BASE DE CLIENTES'!A:D,4,0)</f>
        <v>TECNICO</v>
      </c>
      <c r="L6566" s="26" t="str">
        <f>VLOOKUP(Tabela1[[#This Row],[Cliente]],'BASE DE CLIENTES'!A:E,5,0)</f>
        <v>Aparecida de Goiânia</v>
      </c>
    </row>
    <row r="6567" spans="2:12" x14ac:dyDescent="0.3">
      <c r="B6567" t="s">
        <v>152</v>
      </c>
      <c r="C6567" s="26" t="str">
        <f>VLOOKUP(Tabela1[[#This Row],[Cliente]],'BASE DE CLIENTES'!A:E,2,0)</f>
        <v>Aparecida de Goiânia</v>
      </c>
      <c r="D6567" s="26" t="str">
        <f>VLOOKUP(Tabela1[[#This Row],[Cliente]],'BASE DE CLIENTES'!A:C,3,0)</f>
        <v>GO</v>
      </c>
      <c r="E6567" s="26" t="str">
        <f>CONCATENATE(Tabela1[[#This Row],[CIDADE]],",",Tabela1[[#This Row],[UF]])</f>
        <v>Aparecida de Goiânia,GO</v>
      </c>
      <c r="F6567" s="12">
        <v>46217</v>
      </c>
      <c r="G6567" s="14">
        <v>486.18</v>
      </c>
      <c r="H6567" s="13">
        <v>735</v>
      </c>
      <c r="I6567" s="7">
        <f>Tabela1[[#This Row],[Valor total]]-Tabela1[[#This Row],[Valor custo]]</f>
        <v>248.82</v>
      </c>
      <c r="J6567" s="27">
        <f>Tabela1[[#This Row],[MARGEM BRUTA]]/Tabela1[[#This Row],[Valor total]]</f>
        <v>0.33853061224489794</v>
      </c>
      <c r="K6567" s="26" t="str">
        <f>VLOOKUP(Tabela1[[#This Row],[Cliente]],'BASE DE CLIENTES'!A:D,4,0)</f>
        <v>TECNICO</v>
      </c>
      <c r="L6567" s="26" t="str">
        <f>VLOOKUP(Tabela1[[#This Row],[Cliente]],'BASE DE CLIENTES'!A:E,5,0)</f>
        <v>Aparecida de Goiânia</v>
      </c>
    </row>
    <row r="6568" spans="2:12" x14ac:dyDescent="0.3">
      <c r="B6568" t="s">
        <v>291</v>
      </c>
      <c r="C6568" s="26" t="str">
        <f>VLOOKUP(Tabela1[[#This Row],[Cliente]],'BASE DE CLIENTES'!A:E,2,0)</f>
        <v>Rio Verde</v>
      </c>
      <c r="D6568" s="26" t="str">
        <f>VLOOKUP(Tabela1[[#This Row],[Cliente]],'BASE DE CLIENTES'!A:C,3,0)</f>
        <v>GO</v>
      </c>
      <c r="E6568" s="26" t="str">
        <f>CONCATENATE(Tabela1[[#This Row],[CIDADE]],",",Tabela1[[#This Row],[UF]])</f>
        <v>Rio Verde,GO</v>
      </c>
      <c r="F6568" s="12">
        <v>46217</v>
      </c>
      <c r="G6568" s="14">
        <v>546.79</v>
      </c>
      <c r="H6568" s="13">
        <v>870</v>
      </c>
      <c r="I6568" s="7">
        <f>Tabela1[[#This Row],[Valor total]]-Tabela1[[#This Row],[Valor custo]]</f>
        <v>323.21000000000004</v>
      </c>
      <c r="J6568" s="27">
        <f>Tabela1[[#This Row],[MARGEM BRUTA]]/Tabela1[[#This Row],[Valor total]]</f>
        <v>0.3715057471264368</v>
      </c>
      <c r="K6568" s="26" t="str">
        <f>VLOOKUP(Tabela1[[#This Row],[Cliente]],'BASE DE CLIENTES'!A:D,4,0)</f>
        <v>EMPRESA COM MAQUINA</v>
      </c>
      <c r="L6568" s="26" t="str">
        <f>VLOOKUP(Tabela1[[#This Row],[Cliente]],'BASE DE CLIENTES'!A:E,5,0)</f>
        <v>Rio Verde</v>
      </c>
    </row>
    <row r="6569" spans="2:12" x14ac:dyDescent="0.3">
      <c r="B6569" t="s">
        <v>247</v>
      </c>
      <c r="C6569" s="26" t="str">
        <f>VLOOKUP(Tabela1[[#This Row],[Cliente]],'BASE DE CLIENTES'!A:E,2,0)</f>
        <v>Goianira</v>
      </c>
      <c r="D6569" s="26" t="str">
        <f>VLOOKUP(Tabela1[[#This Row],[Cliente]],'BASE DE CLIENTES'!A:C,3,0)</f>
        <v>GO</v>
      </c>
      <c r="E6569" s="26" t="str">
        <f>CONCATENATE(Tabela1[[#This Row],[CIDADE]],",",Tabela1[[#This Row],[UF]])</f>
        <v>Goianira,GO</v>
      </c>
      <c r="F6569" s="12">
        <v>46217</v>
      </c>
      <c r="G6569" s="14">
        <v>1301.69</v>
      </c>
      <c r="H6569" s="13">
        <v>1900</v>
      </c>
      <c r="I6569" s="7">
        <f>Tabela1[[#This Row],[Valor total]]-Tabela1[[#This Row],[Valor custo]]</f>
        <v>598.30999999999995</v>
      </c>
      <c r="J6569" s="27">
        <f>Tabela1[[#This Row],[MARGEM BRUTA]]/Tabela1[[#This Row],[Valor total]]</f>
        <v>0.31489999999999996</v>
      </c>
      <c r="K6569" s="26" t="str">
        <f>VLOOKUP(Tabela1[[#This Row],[Cliente]],'BASE DE CLIENTES'!A:D,4,0)</f>
        <v>EMPRESA SEM MAQUINA</v>
      </c>
      <c r="L6569" s="26" t="str">
        <f>VLOOKUP(Tabela1[[#This Row],[Cliente]],'BASE DE CLIENTES'!A:E,5,0)</f>
        <v>Goianira</v>
      </c>
    </row>
    <row r="6570" spans="2:12" x14ac:dyDescent="0.3">
      <c r="B6570" t="s">
        <v>236</v>
      </c>
      <c r="C6570" s="26" t="str">
        <f>VLOOKUP(Tabela1[[#This Row],[Cliente]],'BASE DE CLIENTES'!A:E,2,0)</f>
        <v>Goiânia</v>
      </c>
      <c r="D6570" s="26" t="str">
        <f>VLOOKUP(Tabela1[[#This Row],[Cliente]],'BASE DE CLIENTES'!A:C,3,0)</f>
        <v>GO</v>
      </c>
      <c r="E6570" s="26" t="str">
        <f>CONCATENATE(Tabela1[[#This Row],[CIDADE]],",",Tabela1[[#This Row],[UF]])</f>
        <v>Goiânia,GO</v>
      </c>
      <c r="F6570" s="12">
        <v>46216</v>
      </c>
      <c r="G6570" s="14">
        <v>546.79</v>
      </c>
      <c r="H6570" s="13">
        <v>790</v>
      </c>
      <c r="I6570" s="7">
        <f>Tabela1[[#This Row],[Valor total]]-Tabela1[[#This Row],[Valor custo]]</f>
        <v>243.21000000000004</v>
      </c>
      <c r="J6570" s="27">
        <f>Tabela1[[#This Row],[MARGEM BRUTA]]/Tabela1[[#This Row],[Valor total]]</f>
        <v>0.30786075949367092</v>
      </c>
      <c r="K6570" s="26" t="str">
        <f>VLOOKUP(Tabela1[[#This Row],[Cliente]],'BASE DE CLIENTES'!A:D,4,0)</f>
        <v>EMPRESA COM MAQUINA</v>
      </c>
      <c r="L6570" s="26" t="str">
        <f>VLOOKUP(Tabela1[[#This Row],[Cliente]],'BASE DE CLIENTES'!A:E,5,0)</f>
        <v>Goiânia</v>
      </c>
    </row>
    <row r="6571" spans="2:12" x14ac:dyDescent="0.3">
      <c r="B6571" t="s">
        <v>247</v>
      </c>
      <c r="C6571" s="26" t="str">
        <f>VLOOKUP(Tabela1[[#This Row],[Cliente]],'BASE DE CLIENTES'!A:E,2,0)</f>
        <v>Goianira</v>
      </c>
      <c r="D6571" s="26" t="str">
        <f>VLOOKUP(Tabela1[[#This Row],[Cliente]],'BASE DE CLIENTES'!A:C,3,0)</f>
        <v>GO</v>
      </c>
      <c r="E6571" s="26" t="str">
        <f>CONCATENATE(Tabela1[[#This Row],[CIDADE]],",",Tabela1[[#This Row],[UF]])</f>
        <v>Goianira,GO</v>
      </c>
      <c r="F6571" s="12">
        <v>46210</v>
      </c>
      <c r="G6571" s="14">
        <v>670</v>
      </c>
      <c r="H6571" s="13">
        <v>1100</v>
      </c>
      <c r="I6571" s="7">
        <f>Tabela1[[#This Row],[Valor total]]-Tabela1[[#This Row],[Valor custo]]</f>
        <v>430</v>
      </c>
      <c r="J6571" s="27">
        <f>Tabela1[[#This Row],[MARGEM BRUTA]]/Tabela1[[#This Row],[Valor total]]</f>
        <v>0.39090909090909093</v>
      </c>
      <c r="K6571" s="26" t="str">
        <f>VLOOKUP(Tabela1[[#This Row],[Cliente]],'BASE DE CLIENTES'!A:D,4,0)</f>
        <v>EMPRESA SEM MAQUINA</v>
      </c>
      <c r="L6571" s="26" t="str">
        <f>VLOOKUP(Tabela1[[#This Row],[Cliente]],'BASE DE CLIENTES'!A:E,5,0)</f>
        <v>Goianira</v>
      </c>
    </row>
    <row r="6572" spans="2:12" x14ac:dyDescent="0.3">
      <c r="B6572" t="s">
        <v>152</v>
      </c>
      <c r="C6572" s="26" t="str">
        <f>VLOOKUP(Tabela1[[#This Row],[Cliente]],'BASE DE CLIENTES'!A:E,2,0)</f>
        <v>Aparecida de Goiânia</v>
      </c>
      <c r="D6572" s="26" t="str">
        <f>VLOOKUP(Tabela1[[#This Row],[Cliente]],'BASE DE CLIENTES'!A:C,3,0)</f>
        <v>GO</v>
      </c>
      <c r="E6572" s="26" t="str">
        <f>CONCATENATE(Tabela1[[#This Row],[CIDADE]],",",Tabela1[[#This Row],[UF]])</f>
        <v>Aparecida de Goiânia,GO</v>
      </c>
      <c r="F6572" s="12">
        <v>46216</v>
      </c>
      <c r="G6572" s="14">
        <v>2010</v>
      </c>
      <c r="H6572" s="13">
        <v>3000</v>
      </c>
      <c r="I6572" s="7">
        <f>Tabela1[[#This Row],[Valor total]]-Tabela1[[#This Row],[Valor custo]]</f>
        <v>990</v>
      </c>
      <c r="J6572" s="27">
        <f>Tabela1[[#This Row],[MARGEM BRUTA]]/Tabela1[[#This Row],[Valor total]]</f>
        <v>0.33</v>
      </c>
      <c r="K6572" s="26" t="str">
        <f>VLOOKUP(Tabela1[[#This Row],[Cliente]],'BASE DE CLIENTES'!A:D,4,0)</f>
        <v>TECNICO</v>
      </c>
      <c r="L6572" s="26" t="str">
        <f>VLOOKUP(Tabela1[[#This Row],[Cliente]],'BASE DE CLIENTES'!A:E,5,0)</f>
        <v>Aparecida de Goiânia</v>
      </c>
    </row>
    <row r="6573" spans="2:12" x14ac:dyDescent="0.3">
      <c r="B6573" t="s">
        <v>236</v>
      </c>
      <c r="C6573" s="26" t="str">
        <f>VLOOKUP(Tabela1[[#This Row],[Cliente]],'BASE DE CLIENTES'!A:E,2,0)</f>
        <v>Goiânia</v>
      </c>
      <c r="D6573" s="26" t="str">
        <f>VLOOKUP(Tabela1[[#This Row],[Cliente]],'BASE DE CLIENTES'!A:C,3,0)</f>
        <v>GO</v>
      </c>
      <c r="E6573" s="26" t="str">
        <f>CONCATENATE(Tabela1[[#This Row],[CIDADE]],",",Tabela1[[#This Row],[UF]])</f>
        <v>Goiânia,GO</v>
      </c>
      <c r="F6573" s="12">
        <v>46213</v>
      </c>
      <c r="G6573" s="14">
        <v>6095.11</v>
      </c>
      <c r="H6573" s="13">
        <v>9030</v>
      </c>
      <c r="I6573" s="7">
        <f>Tabela1[[#This Row],[Valor total]]-Tabela1[[#This Row],[Valor custo]]</f>
        <v>2934.8900000000003</v>
      </c>
      <c r="J6573" s="27">
        <f>Tabela1[[#This Row],[MARGEM BRUTA]]/Tabela1[[#This Row],[Valor total]]</f>
        <v>0.325015503875969</v>
      </c>
      <c r="K6573" s="26" t="str">
        <f>VLOOKUP(Tabela1[[#This Row],[Cliente]],'BASE DE CLIENTES'!A:D,4,0)</f>
        <v>EMPRESA COM MAQUINA</v>
      </c>
      <c r="L6573" s="26" t="str">
        <f>VLOOKUP(Tabela1[[#This Row],[Cliente]],'BASE DE CLIENTES'!A:E,5,0)</f>
        <v>Goiânia</v>
      </c>
    </row>
    <row r="6574" spans="2:12" x14ac:dyDescent="0.3">
      <c r="B6574" t="s">
        <v>236</v>
      </c>
      <c r="C6574" s="26" t="str">
        <f>VLOOKUP(Tabela1[[#This Row],[Cliente]],'BASE DE CLIENTES'!A:E,2,0)</f>
        <v>Goiânia</v>
      </c>
      <c r="D6574" s="26" t="str">
        <f>VLOOKUP(Tabela1[[#This Row],[Cliente]],'BASE DE CLIENTES'!A:C,3,0)</f>
        <v>GO</v>
      </c>
      <c r="E6574" s="26" t="str">
        <f>CONCATENATE(Tabela1[[#This Row],[CIDADE]],",",Tabela1[[#This Row],[UF]])</f>
        <v>Goiânia,GO</v>
      </c>
      <c r="F6574" s="12">
        <v>46212</v>
      </c>
      <c r="G6574" s="14">
        <v>760</v>
      </c>
      <c r="H6574" s="13">
        <v>1040</v>
      </c>
      <c r="I6574" s="7">
        <f>Tabela1[[#This Row],[Valor total]]-Tabela1[[#This Row],[Valor custo]]</f>
        <v>280</v>
      </c>
      <c r="J6574" s="27">
        <f>Tabela1[[#This Row],[MARGEM BRUTA]]/Tabela1[[#This Row],[Valor total]]</f>
        <v>0.26923076923076922</v>
      </c>
      <c r="K6574" s="26" t="str">
        <f>VLOOKUP(Tabela1[[#This Row],[Cliente]],'BASE DE CLIENTES'!A:D,4,0)</f>
        <v>EMPRESA COM MAQUINA</v>
      </c>
      <c r="L6574" s="26" t="str">
        <f>VLOOKUP(Tabela1[[#This Row],[Cliente]],'BASE DE CLIENTES'!A:E,5,0)</f>
        <v>Goiânia</v>
      </c>
    </row>
    <row r="6575" spans="2:12" x14ac:dyDescent="0.3">
      <c r="B6575" t="s">
        <v>236</v>
      </c>
      <c r="C6575" s="26" t="str">
        <f>VLOOKUP(Tabela1[[#This Row],[Cliente]],'BASE DE CLIENTES'!A:E,2,0)</f>
        <v>Goiânia</v>
      </c>
      <c r="D6575" s="26" t="str">
        <f>VLOOKUP(Tabela1[[#This Row],[Cliente]],'BASE DE CLIENTES'!A:C,3,0)</f>
        <v>GO</v>
      </c>
      <c r="E6575" s="26" t="str">
        <f>CONCATENATE(Tabela1[[#This Row],[CIDADE]],",",Tabela1[[#This Row],[UF]])</f>
        <v>Goiânia,GO</v>
      </c>
      <c r="F6575" s="12">
        <v>46212</v>
      </c>
      <c r="G6575" s="14">
        <v>670</v>
      </c>
      <c r="H6575" s="13">
        <v>1100</v>
      </c>
      <c r="I6575" s="7">
        <f>Tabela1[[#This Row],[Valor total]]-Tabela1[[#This Row],[Valor custo]]</f>
        <v>430</v>
      </c>
      <c r="J6575" s="27">
        <f>Tabela1[[#This Row],[MARGEM BRUTA]]/Tabela1[[#This Row],[Valor total]]</f>
        <v>0.39090909090909093</v>
      </c>
      <c r="K6575" s="26" t="str">
        <f>VLOOKUP(Tabela1[[#This Row],[Cliente]],'BASE DE CLIENTES'!A:D,4,0)</f>
        <v>EMPRESA COM MAQUINA</v>
      </c>
      <c r="L6575" s="26" t="str">
        <f>VLOOKUP(Tabela1[[#This Row],[Cliente]],'BASE DE CLIENTES'!A:E,5,0)</f>
        <v>Goiânia</v>
      </c>
    </row>
    <row r="6576" spans="2:12" x14ac:dyDescent="0.3">
      <c r="B6576" t="s">
        <v>152</v>
      </c>
      <c r="C6576" s="26" t="str">
        <f>VLOOKUP(Tabela1[[#This Row],[Cliente]],'BASE DE CLIENTES'!A:E,2,0)</f>
        <v>Aparecida de Goiânia</v>
      </c>
      <c r="D6576" s="26" t="str">
        <f>VLOOKUP(Tabela1[[#This Row],[Cliente]],'BASE DE CLIENTES'!A:C,3,0)</f>
        <v>GO</v>
      </c>
      <c r="E6576" s="26" t="str">
        <f>CONCATENATE(Tabela1[[#This Row],[CIDADE]],",",Tabela1[[#This Row],[UF]])</f>
        <v>Aparecida de Goiânia,GO</v>
      </c>
      <c r="F6576" s="12">
        <v>46212</v>
      </c>
      <c r="G6576" s="14">
        <v>1458.54</v>
      </c>
      <c r="H6576" s="13">
        <v>2350</v>
      </c>
      <c r="I6576" s="7">
        <f>Tabela1[[#This Row],[Valor total]]-Tabela1[[#This Row],[Valor custo]]</f>
        <v>891.46</v>
      </c>
      <c r="J6576" s="27">
        <f>Tabela1[[#This Row],[MARGEM BRUTA]]/Tabela1[[#This Row],[Valor total]]</f>
        <v>0.37934468085106382</v>
      </c>
      <c r="K6576" s="26" t="str">
        <f>VLOOKUP(Tabela1[[#This Row],[Cliente]],'BASE DE CLIENTES'!A:D,4,0)</f>
        <v>TECNICO</v>
      </c>
      <c r="L6576" s="26" t="str">
        <f>VLOOKUP(Tabela1[[#This Row],[Cliente]],'BASE DE CLIENTES'!A:E,5,0)</f>
        <v>Aparecida de Goiânia</v>
      </c>
    </row>
    <row r="6577" spans="2:12" x14ac:dyDescent="0.3">
      <c r="B6577" t="s">
        <v>236</v>
      </c>
      <c r="C6577" s="26" t="str">
        <f>VLOOKUP(Tabela1[[#This Row],[Cliente]],'BASE DE CLIENTES'!A:E,2,0)</f>
        <v>Goiânia</v>
      </c>
      <c r="D6577" s="26" t="str">
        <f>VLOOKUP(Tabela1[[#This Row],[Cliente]],'BASE DE CLIENTES'!A:C,3,0)</f>
        <v>GO</v>
      </c>
      <c r="E6577" s="26" t="str">
        <f>CONCATENATE(Tabela1[[#This Row],[CIDADE]],",",Tabela1[[#This Row],[UF]])</f>
        <v>Goiânia,GO</v>
      </c>
      <c r="F6577" s="12">
        <v>46211</v>
      </c>
      <c r="G6577" s="14">
        <v>463.69</v>
      </c>
      <c r="H6577" s="13">
        <v>685</v>
      </c>
      <c r="I6577" s="7">
        <f>Tabela1[[#This Row],[Valor total]]-Tabela1[[#This Row],[Valor custo]]</f>
        <v>221.31</v>
      </c>
      <c r="J6577" s="27">
        <f>Tabela1[[#This Row],[MARGEM BRUTA]]/Tabela1[[#This Row],[Valor total]]</f>
        <v>0.3230802919708029</v>
      </c>
      <c r="K6577" s="26" t="str">
        <f>VLOOKUP(Tabela1[[#This Row],[Cliente]],'BASE DE CLIENTES'!A:D,4,0)</f>
        <v>EMPRESA COM MAQUINA</v>
      </c>
      <c r="L6577" s="26" t="str">
        <f>VLOOKUP(Tabela1[[#This Row],[Cliente]],'BASE DE CLIENTES'!A:E,5,0)</f>
        <v>Goiânia</v>
      </c>
    </row>
    <row r="6578" spans="2:12" x14ac:dyDescent="0.3">
      <c r="B6578" t="s">
        <v>236</v>
      </c>
      <c r="C6578" s="26" t="str">
        <f>VLOOKUP(Tabela1[[#This Row],[Cliente]],'BASE DE CLIENTES'!A:E,2,0)</f>
        <v>Goiânia</v>
      </c>
      <c r="D6578" s="26" t="str">
        <f>VLOOKUP(Tabela1[[#This Row],[Cliente]],'BASE DE CLIENTES'!A:C,3,0)</f>
        <v>GO</v>
      </c>
      <c r="E6578" s="26" t="str">
        <f>CONCATENATE(Tabela1[[#This Row],[CIDADE]],",",Tabela1[[#This Row],[UF]])</f>
        <v>Goiânia,GO</v>
      </c>
      <c r="F6578" s="12">
        <v>46211</v>
      </c>
      <c r="G6578" s="14">
        <v>486.18</v>
      </c>
      <c r="H6578" s="13">
        <v>735</v>
      </c>
      <c r="I6578" s="7">
        <f>Tabela1[[#This Row],[Valor total]]-Tabela1[[#This Row],[Valor custo]]</f>
        <v>248.82</v>
      </c>
      <c r="J6578" s="27">
        <f>Tabela1[[#This Row],[MARGEM BRUTA]]/Tabela1[[#This Row],[Valor total]]</f>
        <v>0.33853061224489794</v>
      </c>
      <c r="K6578" s="26" t="str">
        <f>VLOOKUP(Tabela1[[#This Row],[Cliente]],'BASE DE CLIENTES'!A:D,4,0)</f>
        <v>EMPRESA COM MAQUINA</v>
      </c>
      <c r="L6578" s="26" t="str">
        <f>VLOOKUP(Tabela1[[#This Row],[Cliente]],'BASE DE CLIENTES'!A:E,5,0)</f>
        <v>Goiânia</v>
      </c>
    </row>
    <row r="6579" spans="2:12" x14ac:dyDescent="0.3">
      <c r="B6579" t="s">
        <v>236</v>
      </c>
      <c r="C6579" s="26" t="str">
        <f>VLOOKUP(Tabela1[[#This Row],[Cliente]],'BASE DE CLIENTES'!A:E,2,0)</f>
        <v>Goiânia</v>
      </c>
      <c r="D6579" s="26" t="str">
        <f>VLOOKUP(Tabela1[[#This Row],[Cliente]],'BASE DE CLIENTES'!A:C,3,0)</f>
        <v>GO</v>
      </c>
      <c r="E6579" s="26" t="str">
        <f>CONCATENATE(Tabela1[[#This Row],[CIDADE]],",",Tabela1[[#This Row],[UF]])</f>
        <v>Goiânia,GO</v>
      </c>
      <c r="F6579" s="12">
        <v>46211</v>
      </c>
      <c r="G6579" s="14">
        <v>380</v>
      </c>
      <c r="H6579" s="13">
        <v>520</v>
      </c>
      <c r="I6579" s="7">
        <f>Tabela1[[#This Row],[Valor total]]-Tabela1[[#This Row],[Valor custo]]</f>
        <v>140</v>
      </c>
      <c r="J6579" s="27">
        <f>Tabela1[[#This Row],[MARGEM BRUTA]]/Tabela1[[#This Row],[Valor total]]</f>
        <v>0.26923076923076922</v>
      </c>
      <c r="K6579" s="26" t="str">
        <f>VLOOKUP(Tabela1[[#This Row],[Cliente]],'BASE DE CLIENTES'!A:D,4,0)</f>
        <v>EMPRESA COM MAQUINA</v>
      </c>
      <c r="L6579" s="26" t="str">
        <f>VLOOKUP(Tabela1[[#This Row],[Cliente]],'BASE DE CLIENTES'!A:E,5,0)</f>
        <v>Goiânia</v>
      </c>
    </row>
    <row r="6580" spans="2:12" x14ac:dyDescent="0.3">
      <c r="B6580" t="s">
        <v>236</v>
      </c>
      <c r="C6580" s="26" t="str">
        <f>VLOOKUP(Tabela1[[#This Row],[Cliente]],'BASE DE CLIENTES'!A:E,2,0)</f>
        <v>Goiânia</v>
      </c>
      <c r="D6580" s="26" t="str">
        <f>VLOOKUP(Tabela1[[#This Row],[Cliente]],'BASE DE CLIENTES'!A:C,3,0)</f>
        <v>GO</v>
      </c>
      <c r="E6580" s="26" t="str">
        <f>CONCATENATE(Tabela1[[#This Row],[CIDADE]],",",Tabela1[[#This Row],[UF]])</f>
        <v>Goiânia,GO</v>
      </c>
      <c r="F6580" s="12">
        <v>46210</v>
      </c>
      <c r="G6580" s="14">
        <v>965.79</v>
      </c>
      <c r="H6580" s="13">
        <v>1375</v>
      </c>
      <c r="I6580" s="7">
        <f>Tabela1[[#This Row],[Valor total]]-Tabela1[[#This Row],[Valor custo]]</f>
        <v>409.21000000000004</v>
      </c>
      <c r="J6580" s="27">
        <f>Tabela1[[#This Row],[MARGEM BRUTA]]/Tabela1[[#This Row],[Valor total]]</f>
        <v>0.29760727272727278</v>
      </c>
      <c r="K6580" s="26" t="str">
        <f>VLOOKUP(Tabela1[[#This Row],[Cliente]],'BASE DE CLIENTES'!A:D,4,0)</f>
        <v>EMPRESA COM MAQUINA</v>
      </c>
      <c r="L6580" s="26" t="str">
        <f>VLOOKUP(Tabela1[[#This Row],[Cliente]],'BASE DE CLIENTES'!A:E,5,0)</f>
        <v>Goiânia</v>
      </c>
    </row>
    <row r="6581" spans="2:12" x14ac:dyDescent="0.3">
      <c r="B6581" t="s">
        <v>152</v>
      </c>
      <c r="C6581" s="26" t="str">
        <f>VLOOKUP(Tabela1[[#This Row],[Cliente]],'BASE DE CLIENTES'!A:E,2,0)</f>
        <v>Aparecida de Goiânia</v>
      </c>
      <c r="D6581" s="26" t="str">
        <f>VLOOKUP(Tabela1[[#This Row],[Cliente]],'BASE DE CLIENTES'!A:C,3,0)</f>
        <v>GO</v>
      </c>
      <c r="E6581" s="26" t="str">
        <f>CONCATENATE(Tabela1[[#This Row],[CIDADE]],",",Tabela1[[#This Row],[UF]])</f>
        <v>Aparecida de Goiânia,GO</v>
      </c>
      <c r="F6581" s="12">
        <v>46210</v>
      </c>
      <c r="G6581" s="14">
        <v>463.69</v>
      </c>
      <c r="H6581" s="13">
        <v>750</v>
      </c>
      <c r="I6581" s="7">
        <f>Tabela1[[#This Row],[Valor total]]-Tabela1[[#This Row],[Valor custo]]</f>
        <v>286.31</v>
      </c>
      <c r="J6581" s="27">
        <f>Tabela1[[#This Row],[MARGEM BRUTA]]/Tabela1[[#This Row],[Valor total]]</f>
        <v>0.38174666666666668</v>
      </c>
      <c r="K6581" s="26" t="str">
        <f>VLOOKUP(Tabela1[[#This Row],[Cliente]],'BASE DE CLIENTES'!A:D,4,0)</f>
        <v>TECNICO</v>
      </c>
      <c r="L6581" s="26" t="str">
        <f>VLOOKUP(Tabela1[[#This Row],[Cliente]],'BASE DE CLIENTES'!A:E,5,0)</f>
        <v>Aparecida de Goiânia</v>
      </c>
    </row>
    <row r="6582" spans="2:12" x14ac:dyDescent="0.3">
      <c r="B6582" t="s">
        <v>236</v>
      </c>
      <c r="C6582" s="26" t="str">
        <f>VLOOKUP(Tabela1[[#This Row],[Cliente]],'BASE DE CLIENTES'!A:E,2,0)</f>
        <v>Goiânia</v>
      </c>
      <c r="D6582" s="26" t="str">
        <f>VLOOKUP(Tabela1[[#This Row],[Cliente]],'BASE DE CLIENTES'!A:C,3,0)</f>
        <v>GO</v>
      </c>
      <c r="E6582" s="26" t="str">
        <f>CONCATENATE(Tabela1[[#This Row],[CIDADE]],",",Tabela1[[#This Row],[UF]])</f>
        <v>Goiânia,GO</v>
      </c>
      <c r="F6582" s="12">
        <v>46210</v>
      </c>
      <c r="G6582" s="14">
        <v>1765.38</v>
      </c>
      <c r="H6582" s="13">
        <v>2540</v>
      </c>
      <c r="I6582" s="7">
        <f>Tabela1[[#This Row],[Valor total]]-Tabela1[[#This Row],[Valor custo]]</f>
        <v>774.61999999999989</v>
      </c>
      <c r="J6582" s="27">
        <f>Tabela1[[#This Row],[MARGEM BRUTA]]/Tabela1[[#This Row],[Valor total]]</f>
        <v>0.30496850393700781</v>
      </c>
      <c r="K6582" s="26" t="str">
        <f>VLOOKUP(Tabela1[[#This Row],[Cliente]],'BASE DE CLIENTES'!A:D,4,0)</f>
        <v>EMPRESA COM MAQUINA</v>
      </c>
      <c r="L6582" s="26" t="str">
        <f>VLOOKUP(Tabela1[[#This Row],[Cliente]],'BASE DE CLIENTES'!A:E,5,0)</f>
        <v>Goiânia</v>
      </c>
    </row>
    <row r="6583" spans="2:12" x14ac:dyDescent="0.3">
      <c r="B6583" t="s">
        <v>236</v>
      </c>
      <c r="C6583" s="26" t="str">
        <f>VLOOKUP(Tabela1[[#This Row],[Cliente]],'BASE DE CLIENTES'!A:E,2,0)</f>
        <v>Goiânia</v>
      </c>
      <c r="D6583" s="26" t="str">
        <f>VLOOKUP(Tabela1[[#This Row],[Cliente]],'BASE DE CLIENTES'!A:C,3,0)</f>
        <v>GO</v>
      </c>
      <c r="E6583" s="26" t="str">
        <f>CONCATENATE(Tabela1[[#This Row],[CIDADE]],",",Tabela1[[#This Row],[UF]])</f>
        <v>Goiânia,GO</v>
      </c>
      <c r="F6583" s="12">
        <v>46210</v>
      </c>
      <c r="G6583" s="14">
        <v>1676</v>
      </c>
      <c r="H6583" s="13">
        <v>2340</v>
      </c>
      <c r="I6583" s="7">
        <f>Tabela1[[#This Row],[Valor total]]-Tabela1[[#This Row],[Valor custo]]</f>
        <v>664</v>
      </c>
      <c r="J6583" s="27">
        <f>Tabela1[[#This Row],[MARGEM BRUTA]]/Tabela1[[#This Row],[Valor total]]</f>
        <v>0.28376068376068375</v>
      </c>
      <c r="K6583" s="26" t="str">
        <f>VLOOKUP(Tabela1[[#This Row],[Cliente]],'BASE DE CLIENTES'!A:D,4,0)</f>
        <v>EMPRESA COM MAQUINA</v>
      </c>
      <c r="L6583" s="26" t="str">
        <f>VLOOKUP(Tabela1[[#This Row],[Cliente]],'BASE DE CLIENTES'!A:E,5,0)</f>
        <v>Goiânia</v>
      </c>
    </row>
    <row r="6584" spans="2:12" x14ac:dyDescent="0.3">
      <c r="B6584" t="s">
        <v>236</v>
      </c>
      <c r="C6584" s="26" t="str">
        <f>VLOOKUP(Tabela1[[#This Row],[Cliente]],'BASE DE CLIENTES'!A:E,2,0)</f>
        <v>Goiânia</v>
      </c>
      <c r="D6584" s="26" t="str">
        <f>VLOOKUP(Tabela1[[#This Row],[Cliente]],'BASE DE CLIENTES'!A:C,3,0)</f>
        <v>GO</v>
      </c>
      <c r="E6584" s="26" t="str">
        <f>CONCATENATE(Tabela1[[#This Row],[CIDADE]],",",Tabela1[[#This Row],[UF]])</f>
        <v>Goiânia,GO</v>
      </c>
      <c r="F6584" s="12">
        <v>46210</v>
      </c>
      <c r="G6584" s="14">
        <v>546.79</v>
      </c>
      <c r="H6584" s="13">
        <v>790</v>
      </c>
      <c r="I6584" s="7">
        <f>Tabela1[[#This Row],[Valor total]]-Tabela1[[#This Row],[Valor custo]]</f>
        <v>243.21000000000004</v>
      </c>
      <c r="J6584" s="27">
        <f>Tabela1[[#This Row],[MARGEM BRUTA]]/Tabela1[[#This Row],[Valor total]]</f>
        <v>0.30786075949367092</v>
      </c>
      <c r="K6584" s="26" t="str">
        <f>VLOOKUP(Tabela1[[#This Row],[Cliente]],'BASE DE CLIENTES'!A:D,4,0)</f>
        <v>EMPRESA COM MAQUINA</v>
      </c>
      <c r="L6584" s="26" t="str">
        <f>VLOOKUP(Tabela1[[#This Row],[Cliente]],'BASE DE CLIENTES'!A:E,5,0)</f>
        <v>Goiânia</v>
      </c>
    </row>
    <row r="6585" spans="2:12" x14ac:dyDescent="0.3">
      <c r="B6585" t="s">
        <v>247</v>
      </c>
      <c r="C6585" s="26" t="str">
        <f>VLOOKUP(Tabela1[[#This Row],[Cliente]],'BASE DE CLIENTES'!A:E,2,0)</f>
        <v>Goianira</v>
      </c>
      <c r="D6585" s="26" t="str">
        <f>VLOOKUP(Tabela1[[#This Row],[Cliente]],'BASE DE CLIENTES'!A:C,3,0)</f>
        <v>GO</v>
      </c>
      <c r="E6585" s="26" t="str">
        <f>CONCATENATE(Tabela1[[#This Row],[CIDADE]],",",Tabela1[[#This Row],[UF]])</f>
        <v>Goianira,GO</v>
      </c>
      <c r="F6585" s="12">
        <v>46210</v>
      </c>
      <c r="G6585" s="14">
        <v>2395.27</v>
      </c>
      <c r="H6585" s="13">
        <v>3500</v>
      </c>
      <c r="I6585" s="7">
        <f>Tabela1[[#This Row],[Valor total]]-Tabela1[[#This Row],[Valor custo]]</f>
        <v>1104.73</v>
      </c>
      <c r="J6585" s="27">
        <f>Tabela1[[#This Row],[MARGEM BRUTA]]/Tabela1[[#This Row],[Valor total]]</f>
        <v>0.31563714285714284</v>
      </c>
      <c r="K6585" s="26" t="str">
        <f>VLOOKUP(Tabela1[[#This Row],[Cliente]],'BASE DE CLIENTES'!A:D,4,0)</f>
        <v>EMPRESA SEM MAQUINA</v>
      </c>
      <c r="L6585" s="26" t="str">
        <f>VLOOKUP(Tabela1[[#This Row],[Cliente]],'BASE DE CLIENTES'!A:E,5,0)</f>
        <v>Goianira</v>
      </c>
    </row>
    <row r="6586" spans="2:12" x14ac:dyDescent="0.3">
      <c r="B6586" t="s">
        <v>236</v>
      </c>
      <c r="C6586" s="26" t="str">
        <f>VLOOKUP(Tabela1[[#This Row],[Cliente]],'BASE DE CLIENTES'!A:E,2,0)</f>
        <v>Goiânia</v>
      </c>
      <c r="D6586" s="26" t="str">
        <f>VLOOKUP(Tabela1[[#This Row],[Cliente]],'BASE DE CLIENTES'!A:C,3,0)</f>
        <v>GO</v>
      </c>
      <c r="E6586" s="26" t="str">
        <f>CONCATENATE(Tabela1[[#This Row],[CIDADE]],",",Tabela1[[#This Row],[UF]])</f>
        <v>Goiânia,GO</v>
      </c>
      <c r="F6586" s="12">
        <v>46209</v>
      </c>
      <c r="G6586" s="14">
        <v>5211.8599999999997</v>
      </c>
      <c r="H6586" s="13">
        <v>7665</v>
      </c>
      <c r="I6586" s="7">
        <f>Tabela1[[#This Row],[Valor total]]-Tabela1[[#This Row],[Valor custo]]</f>
        <v>2453.1400000000003</v>
      </c>
      <c r="J6586" s="27">
        <f>Tabela1[[#This Row],[MARGEM BRUTA]]/Tabela1[[#This Row],[Valor total]]</f>
        <v>0.32004435746901505</v>
      </c>
      <c r="K6586" s="26" t="str">
        <f>VLOOKUP(Tabela1[[#This Row],[Cliente]],'BASE DE CLIENTES'!A:D,4,0)</f>
        <v>EMPRESA COM MAQUINA</v>
      </c>
      <c r="L6586" s="26" t="str">
        <f>VLOOKUP(Tabela1[[#This Row],[Cliente]],'BASE DE CLIENTES'!A:E,5,0)</f>
        <v>Goiânia</v>
      </c>
    </row>
    <row r="6587" spans="2:12" x14ac:dyDescent="0.3">
      <c r="B6587" t="s">
        <v>236</v>
      </c>
      <c r="C6587" s="26" t="str">
        <f>VLOOKUP(Tabela1[[#This Row],[Cliente]],'BASE DE CLIENTES'!A:E,2,0)</f>
        <v>Goiânia</v>
      </c>
      <c r="D6587" s="26" t="str">
        <f>VLOOKUP(Tabela1[[#This Row],[Cliente]],'BASE DE CLIENTES'!A:C,3,0)</f>
        <v>GO</v>
      </c>
      <c r="E6587" s="26" t="str">
        <f>CONCATENATE(Tabela1[[#This Row],[CIDADE]],",",Tabela1[[#This Row],[UF]])</f>
        <v>Goiânia,GO</v>
      </c>
      <c r="F6587" s="12">
        <v>46206</v>
      </c>
      <c r="G6587" s="14">
        <v>926.79</v>
      </c>
      <c r="H6587" s="13">
        <v>1310</v>
      </c>
      <c r="I6587" s="7">
        <f>Tabela1[[#This Row],[Valor total]]-Tabela1[[#This Row],[Valor custo]]</f>
        <v>383.21000000000004</v>
      </c>
      <c r="J6587" s="27">
        <f>Tabela1[[#This Row],[MARGEM BRUTA]]/Tabela1[[#This Row],[Valor total]]</f>
        <v>0.29252671755725196</v>
      </c>
      <c r="K6587" s="26" t="str">
        <f>VLOOKUP(Tabela1[[#This Row],[Cliente]],'BASE DE CLIENTES'!A:D,4,0)</f>
        <v>EMPRESA COM MAQUINA</v>
      </c>
      <c r="L6587" s="26" t="str">
        <f>VLOOKUP(Tabela1[[#This Row],[Cliente]],'BASE DE CLIENTES'!A:E,5,0)</f>
        <v>Goiânia</v>
      </c>
    </row>
    <row r="6588" spans="2:12" x14ac:dyDescent="0.3">
      <c r="B6588" t="s">
        <v>236</v>
      </c>
      <c r="C6588" s="26" t="str">
        <f>VLOOKUP(Tabela1[[#This Row],[Cliente]],'BASE DE CLIENTES'!A:E,2,0)</f>
        <v>Goiânia</v>
      </c>
      <c r="D6588" s="26" t="str">
        <f>VLOOKUP(Tabela1[[#This Row],[Cliente]],'BASE DE CLIENTES'!A:C,3,0)</f>
        <v>GO</v>
      </c>
      <c r="E6588" s="26" t="str">
        <f>CONCATENATE(Tabela1[[#This Row],[CIDADE]],",",Tabela1[[#This Row],[UF]])</f>
        <v>Goiânia,GO</v>
      </c>
      <c r="F6588" s="12">
        <v>46206</v>
      </c>
      <c r="G6588" s="14">
        <v>1400</v>
      </c>
      <c r="H6588" s="13">
        <v>2400</v>
      </c>
      <c r="I6588" s="7">
        <f>Tabela1[[#This Row],[Valor total]]-Tabela1[[#This Row],[Valor custo]]</f>
        <v>1000</v>
      </c>
      <c r="J6588" s="27">
        <f>Tabela1[[#This Row],[MARGEM BRUTA]]/Tabela1[[#This Row],[Valor total]]</f>
        <v>0.41666666666666669</v>
      </c>
      <c r="K6588" s="26" t="str">
        <f>VLOOKUP(Tabela1[[#This Row],[Cliente]],'BASE DE CLIENTES'!A:D,4,0)</f>
        <v>EMPRESA COM MAQUINA</v>
      </c>
      <c r="L6588" s="26" t="str">
        <f>VLOOKUP(Tabela1[[#This Row],[Cliente]],'BASE DE CLIENTES'!A:E,5,0)</f>
        <v>Goiânia</v>
      </c>
    </row>
    <row r="6589" spans="2:12" x14ac:dyDescent="0.3">
      <c r="B6589" t="s">
        <v>236</v>
      </c>
      <c r="C6589" s="26" t="str">
        <f>VLOOKUP(Tabela1[[#This Row],[Cliente]],'BASE DE CLIENTES'!A:E,2,0)</f>
        <v>Goiânia</v>
      </c>
      <c r="D6589" s="26" t="str">
        <f>VLOOKUP(Tabela1[[#This Row],[Cliente]],'BASE DE CLIENTES'!A:C,3,0)</f>
        <v>GO</v>
      </c>
      <c r="E6589" s="26" t="str">
        <f>CONCATENATE(Tabela1[[#This Row],[CIDADE]],",",Tabela1[[#This Row],[UF]])</f>
        <v>Goiânia,GO</v>
      </c>
      <c r="F6589" s="12">
        <v>46206</v>
      </c>
      <c r="G6589" s="14">
        <v>546.79</v>
      </c>
      <c r="H6589" s="13">
        <v>790</v>
      </c>
      <c r="I6589" s="7">
        <f>Tabela1[[#This Row],[Valor total]]-Tabela1[[#This Row],[Valor custo]]</f>
        <v>243.21000000000004</v>
      </c>
      <c r="J6589" s="27">
        <f>Tabela1[[#This Row],[MARGEM BRUTA]]/Tabela1[[#This Row],[Valor total]]</f>
        <v>0.30786075949367092</v>
      </c>
      <c r="K6589" s="26" t="str">
        <f>VLOOKUP(Tabela1[[#This Row],[Cliente]],'BASE DE CLIENTES'!A:D,4,0)</f>
        <v>EMPRESA COM MAQUINA</v>
      </c>
      <c r="L6589" s="26" t="str">
        <f>VLOOKUP(Tabela1[[#This Row],[Cliente]],'BASE DE CLIENTES'!A:E,5,0)</f>
        <v>Goiânia</v>
      </c>
    </row>
    <row r="6590" spans="2:12" x14ac:dyDescent="0.3">
      <c r="B6590" t="s">
        <v>152</v>
      </c>
      <c r="C6590" s="26" t="str">
        <f>VLOOKUP(Tabela1[[#This Row],[Cliente]],'BASE DE CLIENTES'!A:E,2,0)</f>
        <v>Aparecida de Goiânia</v>
      </c>
      <c r="D6590" s="26" t="str">
        <f>VLOOKUP(Tabela1[[#This Row],[Cliente]],'BASE DE CLIENTES'!A:C,3,0)</f>
        <v>GO</v>
      </c>
      <c r="E6590" s="26" t="str">
        <f>CONCATENATE(Tabela1[[#This Row],[CIDADE]],",",Tabela1[[#This Row],[UF]])</f>
        <v>Aparecida de Goiânia,GO</v>
      </c>
      <c r="F6590" s="12">
        <v>46206</v>
      </c>
      <c r="G6590" s="14">
        <v>972.38</v>
      </c>
      <c r="H6590" s="13">
        <v>1300</v>
      </c>
      <c r="I6590" s="7">
        <f>Tabela1[[#This Row],[Valor total]]-Tabela1[[#This Row],[Valor custo]]</f>
        <v>327.62</v>
      </c>
      <c r="J6590" s="27">
        <f>Tabela1[[#This Row],[MARGEM BRUTA]]/Tabela1[[#This Row],[Valor total]]</f>
        <v>0.25201538461538464</v>
      </c>
      <c r="K6590" s="26" t="str">
        <f>VLOOKUP(Tabela1[[#This Row],[Cliente]],'BASE DE CLIENTES'!A:D,4,0)</f>
        <v>TECNICO</v>
      </c>
      <c r="L6590" s="26" t="str">
        <f>VLOOKUP(Tabela1[[#This Row],[Cliente]],'BASE DE CLIENTES'!A:E,5,0)</f>
        <v>Aparecida de Goiânia</v>
      </c>
    </row>
    <row r="6591" spans="2:12" x14ac:dyDescent="0.3">
      <c r="B6591" t="s">
        <v>236</v>
      </c>
      <c r="C6591" s="26" t="str">
        <f>VLOOKUP(Tabela1[[#This Row],[Cliente]],'BASE DE CLIENTES'!A:E,2,0)</f>
        <v>Goiânia</v>
      </c>
      <c r="D6591" s="26" t="str">
        <f>VLOOKUP(Tabela1[[#This Row],[Cliente]],'BASE DE CLIENTES'!A:C,3,0)</f>
        <v>GO</v>
      </c>
      <c r="E6591" s="26" t="str">
        <f>CONCATENATE(Tabela1[[#This Row],[CIDADE]],",",Tabela1[[#This Row],[UF]])</f>
        <v>Goiânia,GO</v>
      </c>
      <c r="F6591" s="12">
        <v>46205</v>
      </c>
      <c r="G6591" s="14">
        <v>2917.12</v>
      </c>
      <c r="H6591" s="13">
        <v>4070</v>
      </c>
      <c r="I6591" s="7">
        <f>Tabela1[[#This Row],[Valor total]]-Tabela1[[#This Row],[Valor custo]]</f>
        <v>1152.8800000000001</v>
      </c>
      <c r="J6591" s="27">
        <f>Tabela1[[#This Row],[MARGEM BRUTA]]/Tabela1[[#This Row],[Valor total]]</f>
        <v>0.28326289926289927</v>
      </c>
      <c r="K6591" s="26" t="str">
        <f>VLOOKUP(Tabela1[[#This Row],[Cliente]],'BASE DE CLIENTES'!A:D,4,0)</f>
        <v>EMPRESA COM MAQUINA</v>
      </c>
      <c r="L6591" s="26" t="str">
        <f>VLOOKUP(Tabela1[[#This Row],[Cliente]],'BASE DE CLIENTES'!A:E,5,0)</f>
        <v>Goiânia</v>
      </c>
    </row>
    <row r="6592" spans="2:12" x14ac:dyDescent="0.3">
      <c r="B6592" t="s">
        <v>152</v>
      </c>
      <c r="C6592" s="26" t="str">
        <f>VLOOKUP(Tabela1[[#This Row],[Cliente]],'BASE DE CLIENTES'!A:E,2,0)</f>
        <v>Aparecida de Goiânia</v>
      </c>
      <c r="D6592" s="26" t="str">
        <f>VLOOKUP(Tabela1[[#This Row],[Cliente]],'BASE DE CLIENTES'!A:C,3,0)</f>
        <v>GO</v>
      </c>
      <c r="E6592" s="26" t="str">
        <f>CONCATENATE(Tabela1[[#This Row],[CIDADE]],",",Tabela1[[#This Row],[UF]])</f>
        <v>Aparecida de Goiânia,GO</v>
      </c>
      <c r="F6592" s="12">
        <v>46205</v>
      </c>
      <c r="G6592" s="14">
        <v>1944.76</v>
      </c>
      <c r="H6592" s="13">
        <v>2600</v>
      </c>
      <c r="I6592" s="7">
        <f>Tabela1[[#This Row],[Valor total]]-Tabela1[[#This Row],[Valor custo]]</f>
        <v>655.24</v>
      </c>
      <c r="J6592" s="27">
        <f>Tabela1[[#This Row],[MARGEM BRUTA]]/Tabela1[[#This Row],[Valor total]]</f>
        <v>0.25201538461538464</v>
      </c>
      <c r="K6592" s="26" t="str">
        <f>VLOOKUP(Tabela1[[#This Row],[Cliente]],'BASE DE CLIENTES'!A:D,4,0)</f>
        <v>TECNICO</v>
      </c>
      <c r="L6592" s="26" t="str">
        <f>VLOOKUP(Tabela1[[#This Row],[Cliente]],'BASE DE CLIENTES'!A:E,5,0)</f>
        <v>Aparecida de Goiânia</v>
      </c>
    </row>
    <row r="6593" spans="2:12" x14ac:dyDescent="0.3">
      <c r="B6593" t="s">
        <v>247</v>
      </c>
      <c r="C6593" s="26" t="str">
        <f>VLOOKUP(Tabela1[[#This Row],[Cliente]],'BASE DE CLIENTES'!A:E,2,0)</f>
        <v>Goianira</v>
      </c>
      <c r="D6593" s="26" t="str">
        <f>VLOOKUP(Tabela1[[#This Row],[Cliente]],'BASE DE CLIENTES'!A:C,3,0)</f>
        <v>GO</v>
      </c>
      <c r="E6593" s="26" t="str">
        <f>CONCATENATE(Tabela1[[#This Row],[CIDADE]],",",Tabela1[[#This Row],[UF]])</f>
        <v>Goianira,GO</v>
      </c>
      <c r="F6593" s="12">
        <v>46205</v>
      </c>
      <c r="G6593" s="14">
        <v>2899.36</v>
      </c>
      <c r="H6593" s="13">
        <v>4400</v>
      </c>
      <c r="I6593" s="7">
        <f>Tabela1[[#This Row],[Valor total]]-Tabela1[[#This Row],[Valor custo]]</f>
        <v>1500.6399999999999</v>
      </c>
      <c r="J6593" s="27">
        <f>Tabela1[[#This Row],[MARGEM BRUTA]]/Tabela1[[#This Row],[Valor total]]</f>
        <v>0.34105454545454544</v>
      </c>
      <c r="K6593" s="26" t="str">
        <f>VLOOKUP(Tabela1[[#This Row],[Cliente]],'BASE DE CLIENTES'!A:D,4,0)</f>
        <v>EMPRESA SEM MAQUINA</v>
      </c>
      <c r="L6593" s="26" t="str">
        <f>VLOOKUP(Tabela1[[#This Row],[Cliente]],'BASE DE CLIENTES'!A:E,5,0)</f>
        <v>Goianira</v>
      </c>
    </row>
    <row r="6594" spans="2:12" x14ac:dyDescent="0.3">
      <c r="B6594" t="s">
        <v>236</v>
      </c>
      <c r="C6594" s="26" t="str">
        <f>VLOOKUP(Tabela1[[#This Row],[Cliente]],'BASE DE CLIENTES'!A:E,2,0)</f>
        <v>Goiânia</v>
      </c>
      <c r="D6594" s="26" t="str">
        <f>VLOOKUP(Tabela1[[#This Row],[Cliente]],'BASE DE CLIENTES'!A:C,3,0)</f>
        <v>GO</v>
      </c>
      <c r="E6594" s="26" t="str">
        <f>CONCATENATE(Tabela1[[#This Row],[CIDADE]],",",Tabela1[[#This Row],[UF]])</f>
        <v>Goiânia,GO</v>
      </c>
      <c r="F6594" s="12">
        <v>46205</v>
      </c>
      <c r="G6594" s="14">
        <v>3313.56</v>
      </c>
      <c r="H6594" s="13">
        <v>4705</v>
      </c>
      <c r="I6594" s="7">
        <f>Tabela1[[#This Row],[Valor total]]-Tabela1[[#This Row],[Valor custo]]</f>
        <v>1391.44</v>
      </c>
      <c r="J6594" s="27">
        <f>Tabela1[[#This Row],[MARGEM BRUTA]]/Tabela1[[#This Row],[Valor total]]</f>
        <v>0.29573645058448461</v>
      </c>
      <c r="K6594" s="26" t="str">
        <f>VLOOKUP(Tabela1[[#This Row],[Cliente]],'BASE DE CLIENTES'!A:D,4,0)</f>
        <v>EMPRESA COM MAQUINA</v>
      </c>
      <c r="L6594" s="26" t="str">
        <f>VLOOKUP(Tabela1[[#This Row],[Cliente]],'BASE DE CLIENTES'!A:E,5,0)</f>
        <v>Goiânia</v>
      </c>
    </row>
    <row r="6595" spans="2:12" x14ac:dyDescent="0.3">
      <c r="B6595" t="s">
        <v>236</v>
      </c>
      <c r="C6595" s="26" t="str">
        <f>VLOOKUP(Tabela1[[#This Row],[Cliente]],'BASE DE CLIENTES'!A:E,2,0)</f>
        <v>Goiânia</v>
      </c>
      <c r="D6595" s="26" t="str">
        <f>VLOOKUP(Tabela1[[#This Row],[Cliente]],'BASE DE CLIENTES'!A:C,3,0)</f>
        <v>GO</v>
      </c>
      <c r="E6595" s="26" t="str">
        <f>CONCATENATE(Tabela1[[#This Row],[CIDADE]],",",Tabela1[[#This Row],[UF]])</f>
        <v>Goiânia,GO</v>
      </c>
      <c r="F6595" s="12">
        <v>46205</v>
      </c>
      <c r="G6595" s="14">
        <v>843.69</v>
      </c>
      <c r="H6595" s="13">
        <v>1205</v>
      </c>
      <c r="I6595" s="7">
        <f>Tabela1[[#This Row],[Valor total]]-Tabela1[[#This Row],[Valor custo]]</f>
        <v>361.30999999999995</v>
      </c>
      <c r="J6595" s="27">
        <f>Tabela1[[#This Row],[MARGEM BRUTA]]/Tabela1[[#This Row],[Valor total]]</f>
        <v>0.29984232365145225</v>
      </c>
      <c r="K6595" s="26" t="str">
        <f>VLOOKUP(Tabela1[[#This Row],[Cliente]],'BASE DE CLIENTES'!A:D,4,0)</f>
        <v>EMPRESA COM MAQUINA</v>
      </c>
      <c r="L6595" s="26" t="str">
        <f>VLOOKUP(Tabela1[[#This Row],[Cliente]],'BASE DE CLIENTES'!A:E,5,0)</f>
        <v>Goiânia</v>
      </c>
    </row>
    <row r="6596" spans="2:12" x14ac:dyDescent="0.3">
      <c r="B6596" t="s">
        <v>236</v>
      </c>
      <c r="C6596" s="26" t="str">
        <f>VLOOKUP(Tabela1[[#This Row],[Cliente]],'BASE DE CLIENTES'!A:E,2,0)</f>
        <v>Goiânia</v>
      </c>
      <c r="D6596" s="26" t="str">
        <f>VLOOKUP(Tabela1[[#This Row],[Cliente]],'BASE DE CLIENTES'!A:C,3,0)</f>
        <v>GO</v>
      </c>
      <c r="E6596" s="26" t="str">
        <f>CONCATENATE(Tabela1[[#This Row],[CIDADE]],",",Tabela1[[#This Row],[UF]])</f>
        <v>Goiânia,GO</v>
      </c>
      <c r="F6596" s="12">
        <v>46205</v>
      </c>
      <c r="G6596" s="14">
        <v>16461.57</v>
      </c>
      <c r="H6596" s="13">
        <v>23675</v>
      </c>
      <c r="I6596" s="7">
        <f>Tabela1[[#This Row],[Valor total]]-Tabela1[[#This Row],[Valor custo]]</f>
        <v>7213.43</v>
      </c>
      <c r="J6596" s="27">
        <f>Tabela1[[#This Row],[MARGEM BRUTA]]/Tabela1[[#This Row],[Valor total]]</f>
        <v>0.30468553326293557</v>
      </c>
      <c r="K6596" s="26" t="str">
        <f>VLOOKUP(Tabela1[[#This Row],[Cliente]],'BASE DE CLIENTES'!A:D,4,0)</f>
        <v>EMPRESA COM MAQUINA</v>
      </c>
      <c r="L6596" s="26" t="str">
        <f>VLOOKUP(Tabela1[[#This Row],[Cliente]],'BASE DE CLIENTES'!A:E,5,0)</f>
        <v>Goiânia</v>
      </c>
    </row>
    <row r="6597" spans="2:12" x14ac:dyDescent="0.3">
      <c r="B6597" t="s">
        <v>152</v>
      </c>
      <c r="C6597" s="26" t="str">
        <f>VLOOKUP(Tabela1[[#This Row],[Cliente]],'BASE DE CLIENTES'!A:E,2,0)</f>
        <v>Aparecida de Goiânia</v>
      </c>
      <c r="D6597" s="26" t="str">
        <f>VLOOKUP(Tabela1[[#This Row],[Cliente]],'BASE DE CLIENTES'!A:C,3,0)</f>
        <v>GO</v>
      </c>
      <c r="E6597" s="26" t="str">
        <f>CONCATENATE(Tabela1[[#This Row],[CIDADE]],",",Tabela1[[#This Row],[UF]])</f>
        <v>Aparecida de Goiânia,GO</v>
      </c>
      <c r="F6597" s="12">
        <v>46204</v>
      </c>
      <c r="G6597" s="14">
        <v>1468.89</v>
      </c>
      <c r="H6597" s="13">
        <v>1900</v>
      </c>
      <c r="I6597" s="7">
        <f>Tabela1[[#This Row],[Valor total]]-Tabela1[[#This Row],[Valor custo]]</f>
        <v>431.1099999999999</v>
      </c>
      <c r="J6597" s="27">
        <f>Tabela1[[#This Row],[MARGEM BRUTA]]/Tabela1[[#This Row],[Valor total]]</f>
        <v>0.22689999999999994</v>
      </c>
      <c r="K6597" s="26" t="str">
        <f>VLOOKUP(Tabela1[[#This Row],[Cliente]],'BASE DE CLIENTES'!A:D,4,0)</f>
        <v>TECNICO</v>
      </c>
      <c r="L6597" s="26" t="str">
        <f>VLOOKUP(Tabela1[[#This Row],[Cliente]],'BASE DE CLIENTES'!A:E,5,0)</f>
        <v>Aparecida de Goiânia</v>
      </c>
    </row>
    <row r="6598" spans="2:12" x14ac:dyDescent="0.3">
      <c r="B6598" t="s">
        <v>247</v>
      </c>
      <c r="C6598" s="26" t="str">
        <f>VLOOKUP(Tabela1[[#This Row],[Cliente]],'BASE DE CLIENTES'!A:E,2,0)</f>
        <v>Goianira</v>
      </c>
      <c r="D6598" s="26" t="str">
        <f>VLOOKUP(Tabela1[[#This Row],[Cliente]],'BASE DE CLIENTES'!A:C,3,0)</f>
        <v>GO</v>
      </c>
      <c r="E6598" s="26" t="str">
        <f>CONCATENATE(Tabela1[[#This Row],[CIDADE]],",",Tabela1[[#This Row],[UF]])</f>
        <v>Goianira,GO</v>
      </c>
      <c r="F6598" s="12">
        <v>46204</v>
      </c>
      <c r="G6598" s="14">
        <v>2441.89</v>
      </c>
      <c r="H6598" s="13">
        <v>3300</v>
      </c>
      <c r="I6598" s="7">
        <f>Tabela1[[#This Row],[Valor total]]-Tabela1[[#This Row],[Valor custo]]</f>
        <v>858.11000000000013</v>
      </c>
      <c r="J6598" s="27">
        <f>Tabela1[[#This Row],[MARGEM BRUTA]]/Tabela1[[#This Row],[Valor total]]</f>
        <v>0.26003333333333339</v>
      </c>
      <c r="K6598" s="26" t="str">
        <f>VLOOKUP(Tabela1[[#This Row],[Cliente]],'BASE DE CLIENTES'!A:D,4,0)</f>
        <v>EMPRESA SEM MAQUINA</v>
      </c>
      <c r="L6598" s="26" t="str">
        <f>VLOOKUP(Tabela1[[#This Row],[Cliente]],'BASE DE CLIENTES'!A:E,5,0)</f>
        <v>Goianira</v>
      </c>
    </row>
    <row r="6599" spans="2:12" x14ac:dyDescent="0.3">
      <c r="B6599" t="s">
        <v>19</v>
      </c>
      <c r="C6599" s="26" t="str">
        <f>VLOOKUP(Tabela1[[#This Row],[Cliente]],'BASE DE CLIENTES'!A:E,2,0)</f>
        <v>Águas Lindas de Goiás</v>
      </c>
      <c r="D6599" s="26" t="str">
        <f>VLOOKUP(Tabela1[[#This Row],[Cliente]],'BASE DE CLIENTES'!A:C,3,0)</f>
        <v>GO</v>
      </c>
      <c r="E6599" s="26" t="str">
        <f>CONCATENATE(Tabela1[[#This Row],[CIDADE]],",",Tabela1[[#This Row],[UF]])</f>
        <v>Águas Lindas de Goiás,GO</v>
      </c>
      <c r="F6599" s="12">
        <v>46234</v>
      </c>
      <c r="G6599" s="14">
        <v>1140</v>
      </c>
      <c r="H6599" s="13">
        <v>1935</v>
      </c>
      <c r="I6599" s="7">
        <f>Tabela1[[#This Row],[Valor total]]-Tabela1[[#This Row],[Valor custo]]</f>
        <v>795</v>
      </c>
      <c r="J6599" s="27">
        <f>Tabela1[[#This Row],[MARGEM BRUTA]]/Tabela1[[#This Row],[Valor total]]</f>
        <v>0.41085271317829458</v>
      </c>
      <c r="K6599" s="26" t="str">
        <f>VLOOKUP(Tabela1[[#This Row],[Cliente]],'BASE DE CLIENTES'!A:D,4,0)</f>
        <v>SERRALHEIRO</v>
      </c>
      <c r="L6599" s="26" t="str">
        <f>VLOOKUP(Tabela1[[#This Row],[Cliente]],'BASE DE CLIENTES'!A:E,5,0)</f>
        <v>Águas Lindas de Goiás</v>
      </c>
    </row>
    <row r="6600" spans="2:12" x14ac:dyDescent="0.3">
      <c r="B6600" t="s">
        <v>1223</v>
      </c>
      <c r="C6600" s="26" t="str">
        <f>VLOOKUP(Tabela1[[#This Row],[Cliente]],'BASE DE CLIENTES'!A:E,2,0)</f>
        <v>MERCADO LIVRE</v>
      </c>
      <c r="D6600" s="26" t="str">
        <f>VLOOKUP(Tabela1[[#This Row],[Cliente]],'BASE DE CLIENTES'!A:C,3,0)</f>
        <v>MERCADO LIVRE</v>
      </c>
      <c r="E6600" s="26" t="str">
        <f>CONCATENATE(Tabela1[[#This Row],[CIDADE]],",",Tabela1[[#This Row],[UF]])</f>
        <v>MERCADO LIVRE,MERCADO LIVRE</v>
      </c>
      <c r="F6600" s="12">
        <v>46234</v>
      </c>
      <c r="G6600" s="14">
        <v>0</v>
      </c>
      <c r="H6600" s="13">
        <v>93.58</v>
      </c>
      <c r="I6600" s="7">
        <f>Tabela1[[#This Row],[Valor total]]-Tabela1[[#This Row],[Valor custo]]</f>
        <v>93.58</v>
      </c>
      <c r="J6600" s="27">
        <f>Tabela1[[#This Row],[MARGEM BRUTA]]/Tabela1[[#This Row],[Valor total]]</f>
        <v>1</v>
      </c>
      <c r="K6600" s="26" t="str">
        <f>VLOOKUP(Tabela1[[#This Row],[Cliente]],'BASE DE CLIENTES'!A:D,4,0)</f>
        <v>OUTROS RAMOS</v>
      </c>
      <c r="L6600" s="26" t="str">
        <f>VLOOKUP(Tabela1[[#This Row],[Cliente]],'BASE DE CLIENTES'!A:E,5,0)</f>
        <v>MERCADO LIVRE</v>
      </c>
    </row>
    <row r="6601" spans="2:12" x14ac:dyDescent="0.3">
      <c r="B6601" t="s">
        <v>138</v>
      </c>
      <c r="C6601" s="26" t="str">
        <f>VLOOKUP(Tabela1[[#This Row],[Cliente]],'BASE DE CLIENTES'!A:E,2,0)</f>
        <v>Brasília</v>
      </c>
      <c r="D6601" s="26" t="str">
        <f>VLOOKUP(Tabela1[[#This Row],[Cliente]],'BASE DE CLIENTES'!A:C,3,0)</f>
        <v>DF</v>
      </c>
      <c r="E6601" s="26" t="str">
        <f>CONCATENATE(Tabela1[[#This Row],[CIDADE]],",",Tabela1[[#This Row],[UF]])</f>
        <v>Brasília,DF</v>
      </c>
      <c r="F6601" s="12">
        <v>46234</v>
      </c>
      <c r="G6601" s="14">
        <v>281.39999999999998</v>
      </c>
      <c r="H6601" s="13">
        <v>600</v>
      </c>
      <c r="I6601" s="7">
        <f>Tabela1[[#This Row],[Valor total]]-Tabela1[[#This Row],[Valor custo]]</f>
        <v>318.60000000000002</v>
      </c>
      <c r="J6601" s="27">
        <f>Tabela1[[#This Row],[MARGEM BRUTA]]/Tabela1[[#This Row],[Valor total]]</f>
        <v>0.53100000000000003</v>
      </c>
      <c r="K6601" s="26" t="str">
        <f>VLOOKUP(Tabela1[[#This Row],[Cliente]],'BASE DE CLIENTES'!A:D,4,0)</f>
        <v>OUTROS RAMOS</v>
      </c>
      <c r="L6601" s="26" t="str">
        <f>VLOOKUP(Tabela1[[#This Row],[Cliente]],'BASE DE CLIENTES'!A:E,5,0)</f>
        <v>CEILANDIA NORTE (CEILANDIA)</v>
      </c>
    </row>
    <row r="6602" spans="2:12" x14ac:dyDescent="0.3">
      <c r="B6602" t="s">
        <v>88</v>
      </c>
      <c r="C6602" s="26" t="str">
        <f>VLOOKUP(Tabela1[[#This Row],[Cliente]],'BASE DE CLIENTES'!A:E,2,0)</f>
        <v>Brasília</v>
      </c>
      <c r="D6602" s="26" t="str">
        <f>VLOOKUP(Tabela1[[#This Row],[Cliente]],'BASE DE CLIENTES'!A:C,3,0)</f>
        <v>DF</v>
      </c>
      <c r="E6602" s="26" t="str">
        <f>CONCATENATE(Tabela1[[#This Row],[CIDADE]],",",Tabela1[[#This Row],[UF]])</f>
        <v>Brasília,DF</v>
      </c>
      <c r="F6602" s="12">
        <v>46234</v>
      </c>
      <c r="G6602" s="14">
        <v>1760</v>
      </c>
      <c r="H6602" s="13">
        <v>2585</v>
      </c>
      <c r="I6602" s="7">
        <f>Tabela1[[#This Row],[Valor total]]-Tabela1[[#This Row],[Valor custo]]</f>
        <v>825</v>
      </c>
      <c r="J6602" s="27">
        <f>Tabela1[[#This Row],[MARGEM BRUTA]]/Tabela1[[#This Row],[Valor total]]</f>
        <v>0.31914893617021278</v>
      </c>
      <c r="K6602" s="26" t="str">
        <f>VLOOKUP(Tabela1[[#This Row],[Cliente]],'BASE DE CLIENTES'!A:D,4,0)</f>
        <v>SERRALHEIRO</v>
      </c>
      <c r="L6602" s="26" t="str">
        <f>VLOOKUP(Tabela1[[#This Row],[Cliente]],'BASE DE CLIENTES'!A:E,5,0)</f>
        <v>RECANTO DAS EMAS</v>
      </c>
    </row>
    <row r="6603" spans="2:12" x14ac:dyDescent="0.3">
      <c r="B6603" t="s">
        <v>111</v>
      </c>
      <c r="C6603" s="26" t="str">
        <f>VLOOKUP(Tabela1[[#This Row],[Cliente]],'BASE DE CLIENTES'!A:E,2,0)</f>
        <v>Brasília</v>
      </c>
      <c r="D6603" s="26" t="str">
        <f>VLOOKUP(Tabela1[[#This Row],[Cliente]],'BASE DE CLIENTES'!A:C,3,0)</f>
        <v>DF</v>
      </c>
      <c r="E6603" s="26" t="str">
        <f>CONCATENATE(Tabela1[[#This Row],[CIDADE]],",",Tabela1[[#This Row],[UF]])</f>
        <v>Brasília,DF</v>
      </c>
      <c r="F6603" s="12">
        <v>46234</v>
      </c>
      <c r="G6603" s="14">
        <v>984.57</v>
      </c>
      <c r="H6603" s="13">
        <v>1605</v>
      </c>
      <c r="I6603" s="7">
        <f>Tabela1[[#This Row],[Valor total]]-Tabela1[[#This Row],[Valor custo]]</f>
        <v>620.42999999999995</v>
      </c>
      <c r="J6603" s="27">
        <f>Tabela1[[#This Row],[MARGEM BRUTA]]/Tabela1[[#This Row],[Valor total]]</f>
        <v>0.38656074766355136</v>
      </c>
      <c r="K6603" s="26" t="str">
        <f>VLOOKUP(Tabela1[[#This Row],[Cliente]],'BASE DE CLIENTES'!A:D,4,0)</f>
        <v>EMPRESA SEM MAQUINA</v>
      </c>
      <c r="L6603" s="26" t="str">
        <f>VLOOKUP(Tabela1[[#This Row],[Cliente]],'BASE DE CLIENTES'!A:E,5,0)</f>
        <v>TAGUATINGA SUL (TAGUATINGA)</v>
      </c>
    </row>
    <row r="6604" spans="2:12" x14ac:dyDescent="0.3">
      <c r="B6604" t="s">
        <v>68</v>
      </c>
      <c r="C6604" s="26" t="str">
        <f>VLOOKUP(Tabela1[[#This Row],[Cliente]],'BASE DE CLIENTES'!A:E,2,0)</f>
        <v>Brasília</v>
      </c>
      <c r="D6604" s="26" t="str">
        <f>VLOOKUP(Tabela1[[#This Row],[Cliente]],'BASE DE CLIENTES'!A:C,3,0)</f>
        <v>DF</v>
      </c>
      <c r="E6604" s="26" t="str">
        <f>CONCATENATE(Tabela1[[#This Row],[CIDADE]],",",Tabela1[[#This Row],[UF]])</f>
        <v>Brasília,DF</v>
      </c>
      <c r="F6604" s="12">
        <v>46234</v>
      </c>
      <c r="G6604" s="14">
        <v>380</v>
      </c>
      <c r="H6604" s="13">
        <v>585</v>
      </c>
      <c r="I6604" s="7">
        <f>Tabela1[[#This Row],[Valor total]]-Tabela1[[#This Row],[Valor custo]]</f>
        <v>205</v>
      </c>
      <c r="J6604" s="27">
        <f>Tabela1[[#This Row],[MARGEM BRUTA]]/Tabela1[[#This Row],[Valor total]]</f>
        <v>0.3504273504273504</v>
      </c>
      <c r="K6604" s="26" t="str">
        <f>VLOOKUP(Tabela1[[#This Row],[Cliente]],'BASE DE CLIENTES'!A:D,4,0)</f>
        <v>EMPRESA COM MAQUINA</v>
      </c>
      <c r="L6604" s="26" t="str">
        <f>VLOOKUP(Tabela1[[#This Row],[Cliente]],'BASE DE CLIENTES'!A:E,5,0)</f>
        <v>SAMAMBAIA SUL (SAMAMBAIA)</v>
      </c>
    </row>
    <row r="6605" spans="2:12" x14ac:dyDescent="0.3">
      <c r="B6605" t="s">
        <v>342</v>
      </c>
      <c r="C6605" s="26" t="str">
        <f>VLOOKUP(Tabela1[[#This Row],[Cliente]],'BASE DE CLIENTES'!A:E,2,0)</f>
        <v>Santo Antônio Descoberto</v>
      </c>
      <c r="D6605" s="26" t="str">
        <f>VLOOKUP(Tabela1[[#This Row],[Cliente]],'BASE DE CLIENTES'!A:C,3,0)</f>
        <v>GO</v>
      </c>
      <c r="E6605" s="26" t="str">
        <f>CONCATENATE(Tabela1[[#This Row],[CIDADE]],",",Tabela1[[#This Row],[UF]])</f>
        <v>Santo Antônio Descoberto,GO</v>
      </c>
      <c r="F6605" s="12">
        <v>46234</v>
      </c>
      <c r="G6605" s="14">
        <v>3802.79</v>
      </c>
      <c r="H6605" s="13">
        <v>5095</v>
      </c>
      <c r="I6605" s="7">
        <f>Tabela1[[#This Row],[Valor total]]-Tabela1[[#This Row],[Valor custo]]</f>
        <v>1292.21</v>
      </c>
      <c r="J6605" s="27">
        <f>Tabela1[[#This Row],[MARGEM BRUTA]]/Tabela1[[#This Row],[Valor total]]</f>
        <v>0.25362315996074586</v>
      </c>
      <c r="K6605" s="26" t="str">
        <f>VLOOKUP(Tabela1[[#This Row],[Cliente]],'BASE DE CLIENTES'!A:D,4,0)</f>
        <v>CLIENTE NOVO S/ IDENT.</v>
      </c>
      <c r="L6605" s="26" t="str">
        <f>VLOOKUP(Tabela1[[#This Row],[Cliente]],'BASE DE CLIENTES'!A:E,5,0)</f>
        <v>Santo Antônio Descoberto</v>
      </c>
    </row>
    <row r="6606" spans="2:12" x14ac:dyDescent="0.3">
      <c r="B6606" t="s">
        <v>1224</v>
      </c>
      <c r="C6606" s="26" t="str">
        <f>VLOOKUP(Tabela1[[#This Row],[Cliente]],'BASE DE CLIENTES'!A:E,2,0)</f>
        <v>Brasília</v>
      </c>
      <c r="D6606" s="26" t="str">
        <f>VLOOKUP(Tabela1[[#This Row],[Cliente]],'BASE DE CLIENTES'!A:C,3,0)</f>
        <v>DF</v>
      </c>
      <c r="E6606" s="26" t="str">
        <f>CONCATENATE(Tabela1[[#This Row],[CIDADE]],",",Tabela1[[#This Row],[UF]])</f>
        <v>Brasília,DF</v>
      </c>
      <c r="F6606" s="12">
        <v>46234</v>
      </c>
      <c r="G6606" s="14">
        <v>53.2</v>
      </c>
      <c r="H6606" s="13">
        <v>210</v>
      </c>
      <c r="I6606" s="7">
        <f>Tabela1[[#This Row],[Valor total]]-Tabela1[[#This Row],[Valor custo]]</f>
        <v>156.80000000000001</v>
      </c>
      <c r="J6606" s="27">
        <f>Tabela1[[#This Row],[MARGEM BRUTA]]/Tabela1[[#This Row],[Valor total]]</f>
        <v>0.7466666666666667</v>
      </c>
      <c r="K6606" s="26" t="str">
        <f>VLOOKUP(Tabela1[[#This Row],[Cliente]],'BASE DE CLIENTES'!A:D,4,0)</f>
        <v>CLIENTE NOVO S/ IDENT.</v>
      </c>
      <c r="L6606" s="26" t="str">
        <f>VLOOKUP(Tabela1[[#This Row],[Cliente]],'BASE DE CLIENTES'!A:E,5,0)</f>
        <v>SAMAMBAIA</v>
      </c>
    </row>
    <row r="6607" spans="2:12" x14ac:dyDescent="0.3">
      <c r="B6607" t="s">
        <v>1223</v>
      </c>
      <c r="C6607" s="26" t="str">
        <f>VLOOKUP(Tabela1[[#This Row],[Cliente]],'BASE DE CLIENTES'!A:E,2,0)</f>
        <v>MERCADO LIVRE</v>
      </c>
      <c r="D6607" s="26" t="str">
        <f>VLOOKUP(Tabela1[[#This Row],[Cliente]],'BASE DE CLIENTES'!A:C,3,0)</f>
        <v>MERCADO LIVRE</v>
      </c>
      <c r="E6607" s="26" t="str">
        <f>CONCATENATE(Tabela1[[#This Row],[CIDADE]],",",Tabela1[[#This Row],[UF]])</f>
        <v>MERCADO LIVRE,MERCADO LIVRE</v>
      </c>
      <c r="F6607" s="12">
        <v>46234</v>
      </c>
      <c r="G6607" s="14">
        <v>56.28</v>
      </c>
      <c r="H6607" s="13">
        <v>186.91</v>
      </c>
      <c r="I6607" s="7">
        <f>Tabela1[[#This Row],[Valor total]]-Tabela1[[#This Row],[Valor custo]]</f>
        <v>130.63</v>
      </c>
      <c r="J6607" s="27">
        <f>Tabela1[[#This Row],[MARGEM BRUTA]]/Tabela1[[#This Row],[Valor total]]</f>
        <v>0.69889251511422612</v>
      </c>
      <c r="K6607" s="26" t="str">
        <f>VLOOKUP(Tabela1[[#This Row],[Cliente]],'BASE DE CLIENTES'!A:D,4,0)</f>
        <v>OUTROS RAMOS</v>
      </c>
      <c r="L6607" s="26" t="str">
        <f>VLOOKUP(Tabela1[[#This Row],[Cliente]],'BASE DE CLIENTES'!A:E,5,0)</f>
        <v>MERCADO LIVRE</v>
      </c>
    </row>
    <row r="6608" spans="2:12" x14ac:dyDescent="0.3">
      <c r="B6608" t="s">
        <v>111</v>
      </c>
      <c r="C6608" s="26" t="str">
        <f>VLOOKUP(Tabela1[[#This Row],[Cliente]],'BASE DE CLIENTES'!A:E,2,0)</f>
        <v>Brasília</v>
      </c>
      <c r="D6608" s="26" t="str">
        <f>VLOOKUP(Tabela1[[#This Row],[Cliente]],'BASE DE CLIENTES'!A:C,3,0)</f>
        <v>DF</v>
      </c>
      <c r="E6608" s="26" t="str">
        <f>CONCATENATE(Tabela1[[#This Row],[CIDADE]],",",Tabela1[[#This Row],[UF]])</f>
        <v>Brasília,DF</v>
      </c>
      <c r="F6608" s="12">
        <v>46234</v>
      </c>
      <c r="G6608" s="14">
        <v>546.79</v>
      </c>
      <c r="H6608" s="13">
        <v>120</v>
      </c>
      <c r="I6608" s="7">
        <f>Tabela1[[#This Row],[Valor total]]-Tabela1[[#This Row],[Valor custo]]</f>
        <v>-426.78999999999996</v>
      </c>
      <c r="J6608" s="27">
        <f>Tabela1[[#This Row],[MARGEM BRUTA]]/Tabela1[[#This Row],[Valor total]]</f>
        <v>-3.5565833333333332</v>
      </c>
      <c r="K6608" s="26" t="str">
        <f>VLOOKUP(Tabela1[[#This Row],[Cliente]],'BASE DE CLIENTES'!A:D,4,0)</f>
        <v>EMPRESA SEM MAQUINA</v>
      </c>
      <c r="L6608" s="26" t="str">
        <f>VLOOKUP(Tabela1[[#This Row],[Cliente]],'BASE DE CLIENTES'!A:E,5,0)</f>
        <v>TAGUATINGA SUL (TAGUATINGA)</v>
      </c>
    </row>
    <row r="6609" spans="2:12" x14ac:dyDescent="0.3">
      <c r="B6609" t="s">
        <v>1223</v>
      </c>
      <c r="C6609" s="26" t="str">
        <f>VLOOKUP(Tabela1[[#This Row],[Cliente]],'BASE DE CLIENTES'!A:E,2,0)</f>
        <v>MERCADO LIVRE</v>
      </c>
      <c r="D6609" s="26" t="str">
        <f>VLOOKUP(Tabela1[[#This Row],[Cliente]],'BASE DE CLIENTES'!A:C,3,0)</f>
        <v>MERCADO LIVRE</v>
      </c>
      <c r="E6609" s="26" t="str">
        <f>CONCATENATE(Tabela1[[#This Row],[CIDADE]],",",Tabela1[[#This Row],[UF]])</f>
        <v>MERCADO LIVRE,MERCADO LIVRE</v>
      </c>
      <c r="F6609" s="12">
        <v>46234</v>
      </c>
      <c r="G6609" s="14">
        <v>0</v>
      </c>
      <c r="H6609" s="13">
        <v>42.4</v>
      </c>
      <c r="I6609" s="7">
        <f>Tabela1[[#This Row],[Valor total]]-Tabela1[[#This Row],[Valor custo]]</f>
        <v>42.4</v>
      </c>
      <c r="J6609" s="27">
        <f>Tabela1[[#This Row],[MARGEM BRUTA]]/Tabela1[[#This Row],[Valor total]]</f>
        <v>1</v>
      </c>
      <c r="K6609" s="26" t="str">
        <f>VLOOKUP(Tabela1[[#This Row],[Cliente]],'BASE DE CLIENTES'!A:D,4,0)</f>
        <v>OUTROS RAMOS</v>
      </c>
      <c r="L6609" s="26" t="str">
        <f>VLOOKUP(Tabela1[[#This Row],[Cliente]],'BASE DE CLIENTES'!A:E,5,0)</f>
        <v>MERCADO LIVRE</v>
      </c>
    </row>
    <row r="6610" spans="2:12" x14ac:dyDescent="0.3">
      <c r="B6610" t="s">
        <v>1223</v>
      </c>
      <c r="C6610" s="26" t="str">
        <f>VLOOKUP(Tabela1[[#This Row],[Cliente]],'BASE DE CLIENTES'!A:E,2,0)</f>
        <v>MERCADO LIVRE</v>
      </c>
      <c r="D6610" s="26" t="str">
        <f>VLOOKUP(Tabela1[[#This Row],[Cliente]],'BASE DE CLIENTES'!A:C,3,0)</f>
        <v>MERCADO LIVRE</v>
      </c>
      <c r="E6610" s="26" t="str">
        <f>CONCATENATE(Tabela1[[#This Row],[CIDADE]],",",Tabela1[[#This Row],[UF]])</f>
        <v>MERCADO LIVRE,MERCADO LIVRE</v>
      </c>
      <c r="F6610" s="12">
        <v>46234</v>
      </c>
      <c r="G6610" s="14">
        <v>56.28</v>
      </c>
      <c r="H6610" s="13">
        <v>196.72</v>
      </c>
      <c r="I6610" s="7">
        <f>Tabela1[[#This Row],[Valor total]]-Tabela1[[#This Row],[Valor custo]]</f>
        <v>140.44</v>
      </c>
      <c r="J6610" s="27">
        <f>Tabela1[[#This Row],[MARGEM BRUTA]]/Tabela1[[#This Row],[Valor total]]</f>
        <v>0.71390809272061817</v>
      </c>
      <c r="K6610" s="26" t="str">
        <f>VLOOKUP(Tabela1[[#This Row],[Cliente]],'BASE DE CLIENTES'!A:D,4,0)</f>
        <v>OUTROS RAMOS</v>
      </c>
      <c r="L6610" s="26" t="str">
        <f>VLOOKUP(Tabela1[[#This Row],[Cliente]],'BASE DE CLIENTES'!A:E,5,0)</f>
        <v>MERCADO LIVRE</v>
      </c>
    </row>
    <row r="6611" spans="2:12" x14ac:dyDescent="0.3">
      <c r="B6611" t="s">
        <v>206</v>
      </c>
      <c r="C6611" s="26" t="str">
        <f>VLOOKUP(Tabela1[[#This Row],[Cliente]],'BASE DE CLIENTES'!A:E,2,0)</f>
        <v>Goiânia</v>
      </c>
      <c r="D6611" s="26" t="str">
        <f>VLOOKUP(Tabela1[[#This Row],[Cliente]],'BASE DE CLIENTES'!A:C,3,0)</f>
        <v>GO</v>
      </c>
      <c r="E6611" s="26" t="str">
        <f>CONCATENATE(Tabela1[[#This Row],[CIDADE]],",",Tabela1[[#This Row],[UF]])</f>
        <v>Goiânia,GO</v>
      </c>
      <c r="F6611" s="12">
        <v>46233</v>
      </c>
      <c r="G6611" s="14">
        <v>17371.82</v>
      </c>
      <c r="H6611" s="13">
        <v>25300</v>
      </c>
      <c r="I6611" s="7">
        <f>Tabela1[[#This Row],[Valor total]]-Tabela1[[#This Row],[Valor custo]]</f>
        <v>7928.18</v>
      </c>
      <c r="J6611" s="27">
        <f>Tabela1[[#This Row],[MARGEM BRUTA]]/Tabela1[[#This Row],[Valor total]]</f>
        <v>0.31336679841897236</v>
      </c>
      <c r="K6611" s="26" t="str">
        <f>VLOOKUP(Tabela1[[#This Row],[Cliente]],'BASE DE CLIENTES'!A:D,4,0)</f>
        <v>EMPRESA COM MAQUINA</v>
      </c>
      <c r="L6611" s="26" t="str">
        <f>VLOOKUP(Tabela1[[#This Row],[Cliente]],'BASE DE CLIENTES'!A:E,5,0)</f>
        <v>Goiânia</v>
      </c>
    </row>
    <row r="6612" spans="2:12" x14ac:dyDescent="0.3">
      <c r="B6612" t="s">
        <v>232</v>
      </c>
      <c r="C6612" s="26" t="str">
        <f>VLOOKUP(Tabela1[[#This Row],[Cliente]],'BASE DE CLIENTES'!A:E,2,0)</f>
        <v>Brasília</v>
      </c>
      <c r="D6612" s="26" t="str">
        <f>VLOOKUP(Tabela1[[#This Row],[Cliente]],'BASE DE CLIENTES'!A:C,3,0)</f>
        <v>DF</v>
      </c>
      <c r="E6612" s="26" t="str">
        <f>CONCATENATE(Tabela1[[#This Row],[CIDADE]],",",Tabela1[[#This Row],[UF]])</f>
        <v>Brasília,DF</v>
      </c>
      <c r="F6612" s="12">
        <v>46233</v>
      </c>
      <c r="G6612" s="14">
        <v>191</v>
      </c>
      <c r="H6612" s="13">
        <v>300</v>
      </c>
      <c r="I6612" s="7">
        <f>Tabela1[[#This Row],[Valor total]]-Tabela1[[#This Row],[Valor custo]]</f>
        <v>109</v>
      </c>
      <c r="J6612" s="27">
        <f>Tabela1[[#This Row],[MARGEM BRUTA]]/Tabela1[[#This Row],[Valor total]]</f>
        <v>0.36333333333333334</v>
      </c>
      <c r="K6612" s="26" t="str">
        <f>VLOOKUP(Tabela1[[#This Row],[Cliente]],'BASE DE CLIENTES'!A:D,4,0)</f>
        <v>CHAVEIRO</v>
      </c>
      <c r="L6612" s="26" t="str">
        <f>VLOOKUP(Tabela1[[#This Row],[Cliente]],'BASE DE CLIENTES'!A:E,5,0)</f>
        <v>Areal (Águas Claras)</v>
      </c>
    </row>
    <row r="6613" spans="2:12" x14ac:dyDescent="0.3">
      <c r="B6613" t="s">
        <v>1223</v>
      </c>
      <c r="C6613" s="26" t="str">
        <f>VLOOKUP(Tabela1[[#This Row],[Cliente]],'BASE DE CLIENTES'!A:E,2,0)</f>
        <v>MERCADO LIVRE</v>
      </c>
      <c r="D6613" s="26" t="str">
        <f>VLOOKUP(Tabela1[[#This Row],[Cliente]],'BASE DE CLIENTES'!A:C,3,0)</f>
        <v>MERCADO LIVRE</v>
      </c>
      <c r="E6613" s="26" t="str">
        <f>CONCATENATE(Tabela1[[#This Row],[CIDADE]],",",Tabela1[[#This Row],[UF]])</f>
        <v>MERCADO LIVRE,MERCADO LIVRE</v>
      </c>
      <c r="F6613" s="12">
        <v>46233</v>
      </c>
      <c r="G6613" s="14">
        <v>0</v>
      </c>
      <c r="H6613" s="13">
        <v>42.4</v>
      </c>
      <c r="I6613" s="7">
        <f>Tabela1[[#This Row],[Valor total]]-Tabela1[[#This Row],[Valor custo]]</f>
        <v>42.4</v>
      </c>
      <c r="J6613" s="27">
        <f>Tabela1[[#This Row],[MARGEM BRUTA]]/Tabela1[[#This Row],[Valor total]]</f>
        <v>1</v>
      </c>
      <c r="K6613" s="26" t="str">
        <f>VLOOKUP(Tabela1[[#This Row],[Cliente]],'BASE DE CLIENTES'!A:D,4,0)</f>
        <v>OUTROS RAMOS</v>
      </c>
      <c r="L6613" s="26" t="str">
        <f>VLOOKUP(Tabela1[[#This Row],[Cliente]],'BASE DE CLIENTES'!A:E,5,0)</f>
        <v>MERCADO LIVRE</v>
      </c>
    </row>
    <row r="6614" spans="2:12" x14ac:dyDescent="0.3">
      <c r="B6614" t="s">
        <v>151</v>
      </c>
      <c r="C6614" s="26" t="str">
        <f>VLOOKUP(Tabela1[[#This Row],[Cliente]],'BASE DE CLIENTES'!A:E,2,0)</f>
        <v>Aparecida de Goiânia</v>
      </c>
      <c r="D6614" s="26" t="str">
        <f>VLOOKUP(Tabela1[[#This Row],[Cliente]],'BASE DE CLIENTES'!A:C,3,0)</f>
        <v>GO</v>
      </c>
      <c r="E6614" s="26" t="str">
        <f>CONCATENATE(Tabela1[[#This Row],[CIDADE]],",",Tabela1[[#This Row],[UF]])</f>
        <v>Aparecida de Goiânia,GO</v>
      </c>
      <c r="F6614" s="12">
        <v>46233</v>
      </c>
      <c r="G6614" s="14">
        <v>3520</v>
      </c>
      <c r="H6614" s="13">
        <v>4400</v>
      </c>
      <c r="I6614" s="7">
        <f>Tabela1[[#This Row],[Valor total]]-Tabela1[[#This Row],[Valor custo]]</f>
        <v>880</v>
      </c>
      <c r="J6614" s="27">
        <f>Tabela1[[#This Row],[MARGEM BRUTA]]/Tabela1[[#This Row],[Valor total]]</f>
        <v>0.2</v>
      </c>
      <c r="K6614" s="26" t="str">
        <f>VLOOKUP(Tabela1[[#This Row],[Cliente]],'BASE DE CLIENTES'!A:D,4,0)</f>
        <v>EMPRESA COM MAQUINA</v>
      </c>
      <c r="L6614" s="26" t="str">
        <f>VLOOKUP(Tabela1[[#This Row],[Cliente]],'BASE DE CLIENTES'!A:E,5,0)</f>
        <v>Aparecida de Goiânia</v>
      </c>
    </row>
    <row r="6615" spans="2:12" x14ac:dyDescent="0.3">
      <c r="B6615" t="s">
        <v>149</v>
      </c>
      <c r="C6615" s="26" t="str">
        <f>VLOOKUP(Tabela1[[#This Row],[Cliente]],'BASE DE CLIENTES'!A:E,2,0)</f>
        <v>Anápolis</v>
      </c>
      <c r="D6615" s="26" t="str">
        <f>VLOOKUP(Tabela1[[#This Row],[Cliente]],'BASE DE CLIENTES'!A:C,3,0)</f>
        <v>GO</v>
      </c>
      <c r="E6615" s="26" t="str">
        <f>CONCATENATE(Tabela1[[#This Row],[CIDADE]],",",Tabela1[[#This Row],[UF]])</f>
        <v>Anápolis,GO</v>
      </c>
      <c r="F6615" s="12">
        <v>46233</v>
      </c>
      <c r="G6615" s="14">
        <v>6812.64</v>
      </c>
      <c r="H6615" s="13">
        <v>10560</v>
      </c>
      <c r="I6615" s="7">
        <f>Tabela1[[#This Row],[Valor total]]-Tabela1[[#This Row],[Valor custo]]</f>
        <v>3747.3599999999997</v>
      </c>
      <c r="J6615" s="27">
        <f>Tabela1[[#This Row],[MARGEM BRUTA]]/Tabela1[[#This Row],[Valor total]]</f>
        <v>0.35486363636363633</v>
      </c>
      <c r="K6615" s="26" t="str">
        <f>VLOOKUP(Tabela1[[#This Row],[Cliente]],'BASE DE CLIENTES'!A:D,4,0)</f>
        <v>EMPRESA COM MAQUINA</v>
      </c>
      <c r="L6615" s="26" t="str">
        <f>VLOOKUP(Tabela1[[#This Row],[Cliente]],'BASE DE CLIENTES'!A:E,5,0)</f>
        <v>Anápolis</v>
      </c>
    </row>
    <row r="6616" spans="2:12" x14ac:dyDescent="0.3">
      <c r="B6616" t="s">
        <v>161</v>
      </c>
      <c r="C6616" s="26" t="str">
        <f>VLOOKUP(Tabela1[[#This Row],[Cliente]],'BASE DE CLIENTES'!A:E,2,0)</f>
        <v>Brasília</v>
      </c>
      <c r="D6616" s="26" t="str">
        <f>VLOOKUP(Tabela1[[#This Row],[Cliente]],'BASE DE CLIENTES'!A:C,3,0)</f>
        <v>DF</v>
      </c>
      <c r="E6616" s="26" t="str">
        <f>CONCATENATE(Tabela1[[#This Row],[CIDADE]],",",Tabela1[[#This Row],[UF]])</f>
        <v>Brasília,DF</v>
      </c>
      <c r="F6616" s="12">
        <v>46233</v>
      </c>
      <c r="G6616" s="14">
        <v>18366.599999999999</v>
      </c>
      <c r="H6616" s="13">
        <v>29000</v>
      </c>
      <c r="I6616" s="7">
        <f>Tabela1[[#This Row],[Valor total]]-Tabela1[[#This Row],[Valor custo]]</f>
        <v>10633.400000000001</v>
      </c>
      <c r="J6616" s="27">
        <f>Tabela1[[#This Row],[MARGEM BRUTA]]/Tabela1[[#This Row],[Valor total]]</f>
        <v>0.36666896551724143</v>
      </c>
      <c r="K6616" s="26" t="str">
        <f>VLOOKUP(Tabela1[[#This Row],[Cliente]],'BASE DE CLIENTES'!A:D,4,0)</f>
        <v>EMPRESA COM MAQUINA</v>
      </c>
      <c r="L6616" s="26" t="str">
        <f>VLOOKUP(Tabela1[[#This Row],[Cliente]],'BASE DE CLIENTES'!A:E,5,0)</f>
        <v>RIACHO FUNDO II</v>
      </c>
    </row>
    <row r="6617" spans="2:12" x14ac:dyDescent="0.3">
      <c r="B6617" t="s">
        <v>316</v>
      </c>
      <c r="C6617" s="26" t="str">
        <f>VLOOKUP(Tabela1[[#This Row],[Cliente]],'BASE DE CLIENTES'!A:E,2,0)</f>
        <v>Valparaíso de Goiás</v>
      </c>
      <c r="D6617" s="26" t="str">
        <f>VLOOKUP(Tabela1[[#This Row],[Cliente]],'BASE DE CLIENTES'!A:C,3,0)</f>
        <v>GO</v>
      </c>
      <c r="E6617" s="26" t="str">
        <f>CONCATENATE(Tabela1[[#This Row],[CIDADE]],",",Tabela1[[#This Row],[UF]])</f>
        <v>Valparaíso de Goiás,GO</v>
      </c>
      <c r="F6617" s="12">
        <v>46233</v>
      </c>
      <c r="G6617" s="14">
        <v>1845.79</v>
      </c>
      <c r="H6617" s="13">
        <v>2725</v>
      </c>
      <c r="I6617" s="7">
        <f>Tabela1[[#This Row],[Valor total]]-Tabela1[[#This Row],[Valor custo]]</f>
        <v>879.21</v>
      </c>
      <c r="J6617" s="27">
        <f>Tabela1[[#This Row],[MARGEM BRUTA]]/Tabela1[[#This Row],[Valor total]]</f>
        <v>0.32264587155963304</v>
      </c>
      <c r="K6617" s="26" t="str">
        <f>VLOOKUP(Tabela1[[#This Row],[Cliente]],'BASE DE CLIENTES'!A:D,4,0)</f>
        <v>SERRALHEIRO</v>
      </c>
      <c r="L6617" s="26" t="str">
        <f>VLOOKUP(Tabela1[[#This Row],[Cliente]],'BASE DE CLIENTES'!A:E,5,0)</f>
        <v>Valparaíso de Goiás</v>
      </c>
    </row>
    <row r="6618" spans="2:12" x14ac:dyDescent="0.3">
      <c r="B6618" t="s">
        <v>1223</v>
      </c>
      <c r="C6618" s="26" t="str">
        <f>VLOOKUP(Tabela1[[#This Row],[Cliente]],'BASE DE CLIENTES'!A:E,2,0)</f>
        <v>MERCADO LIVRE</v>
      </c>
      <c r="D6618" s="26" t="str">
        <f>VLOOKUP(Tabela1[[#This Row],[Cliente]],'BASE DE CLIENTES'!A:C,3,0)</f>
        <v>MERCADO LIVRE</v>
      </c>
      <c r="E6618" s="26" t="str">
        <f>CONCATENATE(Tabela1[[#This Row],[CIDADE]],",",Tabela1[[#This Row],[UF]])</f>
        <v>MERCADO LIVRE,MERCADO LIVRE</v>
      </c>
      <c r="F6618" s="12">
        <v>46233</v>
      </c>
      <c r="G6618" s="14">
        <v>56.28</v>
      </c>
      <c r="H6618" s="13">
        <v>196.72</v>
      </c>
      <c r="I6618" s="7">
        <f>Tabela1[[#This Row],[Valor total]]-Tabela1[[#This Row],[Valor custo]]</f>
        <v>140.44</v>
      </c>
      <c r="J6618" s="27">
        <f>Tabela1[[#This Row],[MARGEM BRUTA]]/Tabela1[[#This Row],[Valor total]]</f>
        <v>0.71390809272061817</v>
      </c>
      <c r="K6618" s="26" t="str">
        <f>VLOOKUP(Tabela1[[#This Row],[Cliente]],'BASE DE CLIENTES'!A:D,4,0)</f>
        <v>OUTROS RAMOS</v>
      </c>
      <c r="L6618" s="26" t="str">
        <f>VLOOKUP(Tabela1[[#This Row],[Cliente]],'BASE DE CLIENTES'!A:E,5,0)</f>
        <v>MERCADO LIVRE</v>
      </c>
    </row>
    <row r="6619" spans="2:12" x14ac:dyDescent="0.3">
      <c r="B6619" t="s">
        <v>27</v>
      </c>
      <c r="C6619" s="26" t="str">
        <f>VLOOKUP(Tabela1[[#This Row],[Cliente]],'BASE DE CLIENTES'!A:E,2,0)</f>
        <v>Brasília</v>
      </c>
      <c r="D6619" s="26" t="str">
        <f>VLOOKUP(Tabela1[[#This Row],[Cliente]],'BASE DE CLIENTES'!A:C,3,0)</f>
        <v>DF</v>
      </c>
      <c r="E6619" s="26" t="str">
        <f>CONCATENATE(Tabela1[[#This Row],[CIDADE]],",",Tabela1[[#This Row],[UF]])</f>
        <v>Brasília,DF</v>
      </c>
      <c r="F6619" s="12">
        <v>46233</v>
      </c>
      <c r="G6619" s="14">
        <v>117.08</v>
      </c>
      <c r="H6619" s="13">
        <v>345</v>
      </c>
      <c r="I6619" s="7">
        <f>Tabela1[[#This Row],[Valor total]]-Tabela1[[#This Row],[Valor custo]]</f>
        <v>227.92000000000002</v>
      </c>
      <c r="J6619" s="27">
        <f>Tabela1[[#This Row],[MARGEM BRUTA]]/Tabela1[[#This Row],[Valor total]]</f>
        <v>0.66063768115942034</v>
      </c>
      <c r="K6619" s="26" t="str">
        <f>VLOOKUP(Tabela1[[#This Row],[Cliente]],'BASE DE CLIENTES'!A:D,4,0)</f>
        <v>EMPRESA SEM MAQUINA</v>
      </c>
      <c r="L6619" s="26" t="str">
        <f>VLOOKUP(Tabela1[[#This Row],[Cliente]],'BASE DE CLIENTES'!A:E,5,0)</f>
        <v>RECANTO DAS EMAS</v>
      </c>
    </row>
    <row r="6620" spans="2:12" x14ac:dyDescent="0.3">
      <c r="B6620" t="s">
        <v>66</v>
      </c>
      <c r="C6620" s="26" t="str">
        <f>VLOOKUP(Tabela1[[#This Row],[Cliente]],'BASE DE CLIENTES'!A:E,2,0)</f>
        <v>Águas Lindas de Goiás</v>
      </c>
      <c r="D6620" s="26" t="str">
        <f>VLOOKUP(Tabela1[[#This Row],[Cliente]],'BASE DE CLIENTES'!A:C,3,0)</f>
        <v>GO</v>
      </c>
      <c r="E6620" s="26" t="str">
        <f>CONCATENATE(Tabela1[[#This Row],[CIDADE]],",",Tabela1[[#This Row],[UF]])</f>
        <v>Águas Lindas de Goiás,GO</v>
      </c>
      <c r="F6620" s="12">
        <v>46233</v>
      </c>
      <c r="G6620" s="14">
        <v>1140</v>
      </c>
      <c r="H6620" s="13">
        <v>1770</v>
      </c>
      <c r="I6620" s="7">
        <f>Tabela1[[#This Row],[Valor total]]-Tabela1[[#This Row],[Valor custo]]</f>
        <v>630</v>
      </c>
      <c r="J6620" s="27">
        <f>Tabela1[[#This Row],[MARGEM BRUTA]]/Tabela1[[#This Row],[Valor total]]</f>
        <v>0.3559322033898305</v>
      </c>
      <c r="K6620" s="26" t="str">
        <f>VLOOKUP(Tabela1[[#This Row],[Cliente]],'BASE DE CLIENTES'!A:D,4,0)</f>
        <v>EMPRESA COM MAQUINA</v>
      </c>
      <c r="L6620" s="26" t="str">
        <f>VLOOKUP(Tabela1[[#This Row],[Cliente]],'BASE DE CLIENTES'!A:E,5,0)</f>
        <v>Águas Lindas de Goiás</v>
      </c>
    </row>
    <row r="6621" spans="2:12" x14ac:dyDescent="0.3">
      <c r="B6621" t="s">
        <v>1223</v>
      </c>
      <c r="C6621" s="26" t="str">
        <f>VLOOKUP(Tabela1[[#This Row],[Cliente]],'BASE DE CLIENTES'!A:E,2,0)</f>
        <v>MERCADO LIVRE</v>
      </c>
      <c r="D6621" s="26" t="str">
        <f>VLOOKUP(Tabela1[[#This Row],[Cliente]],'BASE DE CLIENTES'!A:C,3,0)</f>
        <v>MERCADO LIVRE</v>
      </c>
      <c r="E6621" s="26" t="str">
        <f>CONCATENATE(Tabela1[[#This Row],[CIDADE]],",",Tabela1[[#This Row],[UF]])</f>
        <v>MERCADO LIVRE,MERCADO LIVRE</v>
      </c>
      <c r="F6621" s="12">
        <v>46233</v>
      </c>
      <c r="G6621" s="14">
        <v>15.34</v>
      </c>
      <c r="H6621" s="13">
        <v>18.34</v>
      </c>
      <c r="I6621" s="7">
        <f>Tabela1[[#This Row],[Valor total]]-Tabela1[[#This Row],[Valor custo]]</f>
        <v>3</v>
      </c>
      <c r="J6621" s="27">
        <f>Tabela1[[#This Row],[MARGEM BRUTA]]/Tabela1[[#This Row],[Valor total]]</f>
        <v>0.16357688113413305</v>
      </c>
      <c r="K6621" s="26" t="str">
        <f>VLOOKUP(Tabela1[[#This Row],[Cliente]],'BASE DE CLIENTES'!A:D,4,0)</f>
        <v>OUTROS RAMOS</v>
      </c>
      <c r="L6621" s="26" t="str">
        <f>VLOOKUP(Tabela1[[#This Row],[Cliente]],'BASE DE CLIENTES'!A:E,5,0)</f>
        <v>MERCADO LIVRE</v>
      </c>
    </row>
    <row r="6622" spans="2:12" x14ac:dyDescent="0.3">
      <c r="B6622" t="s">
        <v>136</v>
      </c>
      <c r="C6622" s="26" t="str">
        <f>VLOOKUP(Tabela1[[#This Row],[Cliente]],'BASE DE CLIENTES'!A:E,2,0)</f>
        <v>Brasília</v>
      </c>
      <c r="D6622" s="26" t="str">
        <f>VLOOKUP(Tabela1[[#This Row],[Cliente]],'BASE DE CLIENTES'!A:C,3,0)</f>
        <v>DF</v>
      </c>
      <c r="E6622" s="26" t="str">
        <f>CONCATENATE(Tabela1[[#This Row],[CIDADE]],",",Tabela1[[#This Row],[UF]])</f>
        <v>Brasília,DF</v>
      </c>
      <c r="F6622" s="12">
        <v>46233</v>
      </c>
      <c r="G6622" s="14">
        <v>42</v>
      </c>
      <c r="H6622" s="13">
        <v>70</v>
      </c>
      <c r="I6622" s="7">
        <f>Tabela1[[#This Row],[Valor total]]-Tabela1[[#This Row],[Valor custo]]</f>
        <v>28</v>
      </c>
      <c r="J6622" s="27">
        <f>Tabela1[[#This Row],[MARGEM BRUTA]]/Tabela1[[#This Row],[Valor total]]</f>
        <v>0.4</v>
      </c>
      <c r="K6622" s="26" t="str">
        <f>VLOOKUP(Tabela1[[#This Row],[Cliente]],'BASE DE CLIENTES'!A:D,4,0)</f>
        <v>SEM CLASSIFICAÇÃO</v>
      </c>
      <c r="L6622" s="26" t="str">
        <f>VLOOKUP(Tabela1[[#This Row],[Cliente]],'BASE DE CLIENTES'!A:E,5,0)</f>
        <v>SAMAMBAIA NORTE (SAMAMBAIA)</v>
      </c>
    </row>
    <row r="6623" spans="2:12" x14ac:dyDescent="0.3">
      <c r="B6623" t="s">
        <v>106</v>
      </c>
      <c r="C6623" s="26" t="str">
        <f>VLOOKUP(Tabela1[[#This Row],[Cliente]],'BASE DE CLIENTES'!A:E,2,0)</f>
        <v>Brasília</v>
      </c>
      <c r="D6623" s="26" t="str">
        <f>VLOOKUP(Tabela1[[#This Row],[Cliente]],'BASE DE CLIENTES'!A:C,3,0)</f>
        <v>DF</v>
      </c>
      <c r="E6623" s="26" t="str">
        <f>CONCATENATE(Tabela1[[#This Row],[CIDADE]],",",Tabela1[[#This Row],[UF]])</f>
        <v>Brasília,DF</v>
      </c>
      <c r="F6623" s="12">
        <v>46233</v>
      </c>
      <c r="G6623" s="14">
        <v>500</v>
      </c>
      <c r="H6623" s="13">
        <v>830</v>
      </c>
      <c r="I6623" s="7">
        <f>Tabela1[[#This Row],[Valor total]]-Tabela1[[#This Row],[Valor custo]]</f>
        <v>330</v>
      </c>
      <c r="J6623" s="27">
        <f>Tabela1[[#This Row],[MARGEM BRUTA]]/Tabela1[[#This Row],[Valor total]]</f>
        <v>0.39759036144578314</v>
      </c>
      <c r="K6623" s="26" t="str">
        <f>VLOOKUP(Tabela1[[#This Row],[Cliente]],'BASE DE CLIENTES'!A:D,4,0)</f>
        <v>EMPRESA COM MAQUINA</v>
      </c>
      <c r="L6623" s="26" t="str">
        <f>VLOOKUP(Tabela1[[#This Row],[Cliente]],'BASE DE CLIENTES'!A:E,5,0)</f>
        <v>26 DE SETEMBRO</v>
      </c>
    </row>
    <row r="6624" spans="2:12" x14ac:dyDescent="0.3">
      <c r="B6624" t="s">
        <v>70</v>
      </c>
      <c r="C6624" s="26" t="str">
        <f>VLOOKUP(Tabela1[[#This Row],[Cliente]],'BASE DE CLIENTES'!A:E,2,0)</f>
        <v>Brasília</v>
      </c>
      <c r="D6624" s="26" t="str">
        <f>VLOOKUP(Tabela1[[#This Row],[Cliente]],'BASE DE CLIENTES'!A:C,3,0)</f>
        <v>DF</v>
      </c>
      <c r="E6624" s="26" t="str">
        <f>CONCATENATE(Tabela1[[#This Row],[CIDADE]],",",Tabela1[[#This Row],[UF]])</f>
        <v>Brasília,DF</v>
      </c>
      <c r="F6624" s="12">
        <v>46233</v>
      </c>
      <c r="G6624" s="14">
        <v>650</v>
      </c>
      <c r="H6624" s="13">
        <v>1100</v>
      </c>
      <c r="I6624" s="7">
        <f>Tabela1[[#This Row],[Valor total]]-Tabela1[[#This Row],[Valor custo]]</f>
        <v>450</v>
      </c>
      <c r="J6624" s="27">
        <f>Tabela1[[#This Row],[MARGEM BRUTA]]/Tabela1[[#This Row],[Valor total]]</f>
        <v>0.40909090909090912</v>
      </c>
      <c r="K6624" s="26" t="str">
        <f>VLOOKUP(Tabela1[[#This Row],[Cliente]],'BASE DE CLIENTES'!A:D,4,0)</f>
        <v>EMPRESA COM MAQUINA</v>
      </c>
      <c r="L6624" s="26" t="str">
        <f>VLOOKUP(Tabela1[[#This Row],[Cliente]],'BASE DE CLIENTES'!A:E,5,0)</f>
        <v>TAGUATINGA NORTE (TAGUATINGA)</v>
      </c>
    </row>
    <row r="6625" spans="2:12" x14ac:dyDescent="0.3">
      <c r="B6625" t="s">
        <v>27</v>
      </c>
      <c r="C6625" s="26" t="str">
        <f>VLOOKUP(Tabela1[[#This Row],[Cliente]],'BASE DE CLIENTES'!A:E,2,0)</f>
        <v>Brasília</v>
      </c>
      <c r="D6625" s="26" t="str">
        <f>VLOOKUP(Tabela1[[#This Row],[Cliente]],'BASE DE CLIENTES'!A:C,3,0)</f>
        <v>DF</v>
      </c>
      <c r="E6625" s="26" t="str">
        <f>CONCATENATE(Tabela1[[#This Row],[CIDADE]],",",Tabela1[[#This Row],[UF]])</f>
        <v>Brasília,DF</v>
      </c>
      <c r="F6625" s="12">
        <v>46233</v>
      </c>
      <c r="G6625" s="14">
        <v>2430.9</v>
      </c>
      <c r="H6625" s="13">
        <v>3300</v>
      </c>
      <c r="I6625" s="7">
        <f>Tabela1[[#This Row],[Valor total]]-Tabela1[[#This Row],[Valor custo]]</f>
        <v>869.09999999999991</v>
      </c>
      <c r="J6625" s="27">
        <f>Tabela1[[#This Row],[MARGEM BRUTA]]/Tabela1[[#This Row],[Valor total]]</f>
        <v>0.26336363636363636</v>
      </c>
      <c r="K6625" s="26" t="str">
        <f>VLOOKUP(Tabela1[[#This Row],[Cliente]],'BASE DE CLIENTES'!A:D,4,0)</f>
        <v>EMPRESA SEM MAQUINA</v>
      </c>
      <c r="L6625" s="26" t="str">
        <f>VLOOKUP(Tabela1[[#This Row],[Cliente]],'BASE DE CLIENTES'!A:E,5,0)</f>
        <v>RECANTO DAS EMAS</v>
      </c>
    </row>
    <row r="6626" spans="2:12" x14ac:dyDescent="0.3">
      <c r="B6626" t="s">
        <v>108</v>
      </c>
      <c r="C6626" s="26" t="str">
        <f>VLOOKUP(Tabela1[[#This Row],[Cliente]],'BASE DE CLIENTES'!A:E,2,0)</f>
        <v>Brasília</v>
      </c>
      <c r="D6626" s="26" t="str">
        <f>VLOOKUP(Tabela1[[#This Row],[Cliente]],'BASE DE CLIENTES'!A:C,3,0)</f>
        <v>DF</v>
      </c>
      <c r="E6626" s="26" t="str">
        <f>CONCATENATE(Tabela1[[#This Row],[CIDADE]],",",Tabela1[[#This Row],[UF]])</f>
        <v>Brasília,DF</v>
      </c>
      <c r="F6626" s="12">
        <v>46233</v>
      </c>
      <c r="G6626" s="14">
        <v>700</v>
      </c>
      <c r="H6626" s="13">
        <v>1000</v>
      </c>
      <c r="I6626" s="7">
        <f>Tabela1[[#This Row],[Valor total]]-Tabela1[[#This Row],[Valor custo]]</f>
        <v>300</v>
      </c>
      <c r="J6626" s="27">
        <f>Tabela1[[#This Row],[MARGEM BRUTA]]/Tabela1[[#This Row],[Valor total]]</f>
        <v>0.3</v>
      </c>
      <c r="K6626" s="26" t="str">
        <f>VLOOKUP(Tabela1[[#This Row],[Cliente]],'BASE DE CLIENTES'!A:D,4,0)</f>
        <v>SERRALHEIRO</v>
      </c>
      <c r="L6626" s="26" t="str">
        <f>VLOOKUP(Tabela1[[#This Row],[Cliente]],'BASE DE CLIENTES'!A:E,5,0)</f>
        <v>Vila Planalto</v>
      </c>
    </row>
    <row r="6627" spans="2:12" x14ac:dyDescent="0.3">
      <c r="B6627" t="s">
        <v>1223</v>
      </c>
      <c r="C6627" s="26" t="str">
        <f>VLOOKUP(Tabela1[[#This Row],[Cliente]],'BASE DE CLIENTES'!A:E,2,0)</f>
        <v>MERCADO LIVRE</v>
      </c>
      <c r="D6627" s="26" t="str">
        <f>VLOOKUP(Tabela1[[#This Row],[Cliente]],'BASE DE CLIENTES'!A:C,3,0)</f>
        <v>MERCADO LIVRE</v>
      </c>
      <c r="E6627" s="26" t="str">
        <f>CONCATENATE(Tabela1[[#This Row],[CIDADE]],",",Tabela1[[#This Row],[UF]])</f>
        <v>MERCADO LIVRE,MERCADO LIVRE</v>
      </c>
      <c r="F6627" s="12">
        <v>46233</v>
      </c>
      <c r="G6627" s="14">
        <v>0</v>
      </c>
      <c r="H6627" s="13">
        <v>102.78</v>
      </c>
      <c r="I6627" s="7">
        <f>Tabela1[[#This Row],[Valor total]]-Tabela1[[#This Row],[Valor custo]]</f>
        <v>102.78</v>
      </c>
      <c r="J6627" s="27">
        <f>Tabela1[[#This Row],[MARGEM BRUTA]]/Tabela1[[#This Row],[Valor total]]</f>
        <v>1</v>
      </c>
      <c r="K6627" s="26" t="str">
        <f>VLOOKUP(Tabela1[[#This Row],[Cliente]],'BASE DE CLIENTES'!A:D,4,0)</f>
        <v>OUTROS RAMOS</v>
      </c>
      <c r="L6627" s="26" t="str">
        <f>VLOOKUP(Tabela1[[#This Row],[Cliente]],'BASE DE CLIENTES'!A:E,5,0)</f>
        <v>MERCADO LIVRE</v>
      </c>
    </row>
    <row r="6628" spans="2:12" x14ac:dyDescent="0.3">
      <c r="B6628" t="s">
        <v>111</v>
      </c>
      <c r="C6628" s="26" t="str">
        <f>VLOOKUP(Tabela1[[#This Row],[Cliente]],'BASE DE CLIENTES'!A:E,2,0)</f>
        <v>Brasília</v>
      </c>
      <c r="D6628" s="26" t="str">
        <f>VLOOKUP(Tabela1[[#This Row],[Cliente]],'BASE DE CLIENTES'!A:C,3,0)</f>
        <v>DF</v>
      </c>
      <c r="E6628" s="26" t="str">
        <f>CONCATENATE(Tabela1[[#This Row],[CIDADE]],",",Tabela1[[#This Row],[UF]])</f>
        <v>Brasília,DF</v>
      </c>
      <c r="F6628" s="12">
        <v>46233</v>
      </c>
      <c r="G6628" s="14">
        <v>1181.1400000000001</v>
      </c>
      <c r="H6628" s="13">
        <v>1960</v>
      </c>
      <c r="I6628" s="7">
        <f>Tabela1[[#This Row],[Valor total]]-Tabela1[[#This Row],[Valor custo]]</f>
        <v>778.8599999999999</v>
      </c>
      <c r="J6628" s="27">
        <f>Tabela1[[#This Row],[MARGEM BRUTA]]/Tabela1[[#This Row],[Valor total]]</f>
        <v>0.39737755102040812</v>
      </c>
      <c r="K6628" s="26" t="str">
        <f>VLOOKUP(Tabela1[[#This Row],[Cliente]],'BASE DE CLIENTES'!A:D,4,0)</f>
        <v>EMPRESA SEM MAQUINA</v>
      </c>
      <c r="L6628" s="26" t="str">
        <f>VLOOKUP(Tabela1[[#This Row],[Cliente]],'BASE DE CLIENTES'!A:E,5,0)</f>
        <v>TAGUATINGA SUL (TAGUATINGA)</v>
      </c>
    </row>
    <row r="6629" spans="2:12" x14ac:dyDescent="0.3">
      <c r="B6629" t="s">
        <v>80</v>
      </c>
      <c r="C6629" s="26" t="str">
        <f>VLOOKUP(Tabela1[[#This Row],[Cliente]],'BASE DE CLIENTES'!A:E,2,0)</f>
        <v>Brasília</v>
      </c>
      <c r="D6629" s="26" t="str">
        <f>VLOOKUP(Tabela1[[#This Row],[Cliente]],'BASE DE CLIENTES'!A:C,3,0)</f>
        <v>DF</v>
      </c>
      <c r="E6629" s="26" t="str">
        <f>CONCATENATE(Tabela1[[#This Row],[CIDADE]],",",Tabela1[[#This Row],[UF]])</f>
        <v>Brasília,DF</v>
      </c>
      <c r="F6629" s="12">
        <v>46233</v>
      </c>
      <c r="G6629" s="14">
        <v>419</v>
      </c>
      <c r="H6629" s="13">
        <v>720</v>
      </c>
      <c r="I6629" s="7">
        <f>Tabela1[[#This Row],[Valor total]]-Tabela1[[#This Row],[Valor custo]]</f>
        <v>301</v>
      </c>
      <c r="J6629" s="27">
        <f>Tabela1[[#This Row],[MARGEM BRUTA]]/Tabela1[[#This Row],[Valor total]]</f>
        <v>0.41805555555555557</v>
      </c>
      <c r="K6629" s="26" t="str">
        <f>VLOOKUP(Tabela1[[#This Row],[Cliente]],'BASE DE CLIENTES'!A:D,4,0)</f>
        <v>EMPRESA SEM MAQUINA</v>
      </c>
      <c r="L6629" s="26" t="str">
        <f>VLOOKUP(Tabela1[[#This Row],[Cliente]],'BASE DE CLIENTES'!A:E,5,0)</f>
        <v>JOKEY</v>
      </c>
    </row>
    <row r="6630" spans="2:12" x14ac:dyDescent="0.3">
      <c r="B6630" t="s">
        <v>1223</v>
      </c>
      <c r="C6630" s="26" t="str">
        <f>VLOOKUP(Tabela1[[#This Row],[Cliente]],'BASE DE CLIENTES'!A:E,2,0)</f>
        <v>MERCADO LIVRE</v>
      </c>
      <c r="D6630" s="26" t="str">
        <f>VLOOKUP(Tabela1[[#This Row],[Cliente]],'BASE DE CLIENTES'!A:C,3,0)</f>
        <v>MERCADO LIVRE</v>
      </c>
      <c r="E6630" s="26" t="str">
        <f>CONCATENATE(Tabela1[[#This Row],[CIDADE]],",",Tabela1[[#This Row],[UF]])</f>
        <v>MERCADO LIVRE,MERCADO LIVRE</v>
      </c>
      <c r="F6630" s="12">
        <v>46233</v>
      </c>
      <c r="G6630" s="14">
        <v>56.28</v>
      </c>
      <c r="H6630" s="13">
        <v>208.86</v>
      </c>
      <c r="I6630" s="7">
        <f>Tabela1[[#This Row],[Valor total]]-Tabela1[[#This Row],[Valor custo]]</f>
        <v>152.58000000000001</v>
      </c>
      <c r="J6630" s="27">
        <f>Tabela1[[#This Row],[MARGEM BRUTA]]/Tabela1[[#This Row],[Valor total]]</f>
        <v>0.73053720195346161</v>
      </c>
      <c r="K6630" s="26" t="str">
        <f>VLOOKUP(Tabela1[[#This Row],[Cliente]],'BASE DE CLIENTES'!A:D,4,0)</f>
        <v>OUTROS RAMOS</v>
      </c>
      <c r="L6630" s="26" t="str">
        <f>VLOOKUP(Tabela1[[#This Row],[Cliente]],'BASE DE CLIENTES'!A:E,5,0)</f>
        <v>MERCADO LIVRE</v>
      </c>
    </row>
    <row r="6631" spans="2:12" x14ac:dyDescent="0.3">
      <c r="B6631" t="s">
        <v>1223</v>
      </c>
      <c r="C6631" s="26" t="str">
        <f>VLOOKUP(Tabela1[[#This Row],[Cliente]],'BASE DE CLIENTES'!A:E,2,0)</f>
        <v>MERCADO LIVRE</v>
      </c>
      <c r="D6631" s="26" t="str">
        <f>VLOOKUP(Tabela1[[#This Row],[Cliente]],'BASE DE CLIENTES'!A:C,3,0)</f>
        <v>MERCADO LIVRE</v>
      </c>
      <c r="E6631" s="26" t="str">
        <f>CONCATENATE(Tabela1[[#This Row],[CIDADE]],",",Tabela1[[#This Row],[UF]])</f>
        <v>MERCADO LIVRE,MERCADO LIVRE</v>
      </c>
      <c r="F6631" s="12">
        <v>46233</v>
      </c>
      <c r="G6631" s="14">
        <v>56.28</v>
      </c>
      <c r="H6631" s="13">
        <v>177.27</v>
      </c>
      <c r="I6631" s="7">
        <f>Tabela1[[#This Row],[Valor total]]-Tabela1[[#This Row],[Valor custo]]</f>
        <v>120.99000000000001</v>
      </c>
      <c r="J6631" s="27">
        <f>Tabela1[[#This Row],[MARGEM BRUTA]]/Tabela1[[#This Row],[Valor total]]</f>
        <v>0.68251819258757829</v>
      </c>
      <c r="K6631" s="26" t="str">
        <f>VLOOKUP(Tabela1[[#This Row],[Cliente]],'BASE DE CLIENTES'!A:D,4,0)</f>
        <v>OUTROS RAMOS</v>
      </c>
      <c r="L6631" s="26" t="str">
        <f>VLOOKUP(Tabela1[[#This Row],[Cliente]],'BASE DE CLIENTES'!A:E,5,0)</f>
        <v>MERCADO LIVRE</v>
      </c>
    </row>
    <row r="6632" spans="2:12" x14ac:dyDescent="0.3">
      <c r="B6632" t="s">
        <v>1223</v>
      </c>
      <c r="C6632" s="26" t="str">
        <f>VLOOKUP(Tabela1[[#This Row],[Cliente]],'BASE DE CLIENTES'!A:E,2,0)</f>
        <v>MERCADO LIVRE</v>
      </c>
      <c r="D6632" s="26" t="str">
        <f>VLOOKUP(Tabela1[[#This Row],[Cliente]],'BASE DE CLIENTES'!A:C,3,0)</f>
        <v>MERCADO LIVRE</v>
      </c>
      <c r="E6632" s="26" t="str">
        <f>CONCATENATE(Tabela1[[#This Row],[CIDADE]],",",Tabela1[[#This Row],[UF]])</f>
        <v>MERCADO LIVRE,MERCADO LIVRE</v>
      </c>
      <c r="F6632" s="12">
        <v>46233</v>
      </c>
      <c r="G6632" s="14">
        <v>500</v>
      </c>
      <c r="H6632" s="13">
        <v>821.13</v>
      </c>
      <c r="I6632" s="7">
        <f>Tabela1[[#This Row],[Valor total]]-Tabela1[[#This Row],[Valor custo]]</f>
        <v>321.13</v>
      </c>
      <c r="J6632" s="27">
        <f>Tabela1[[#This Row],[MARGEM BRUTA]]/Tabela1[[#This Row],[Valor total]]</f>
        <v>0.3910830197410885</v>
      </c>
      <c r="K6632" s="26" t="str">
        <f>VLOOKUP(Tabela1[[#This Row],[Cliente]],'BASE DE CLIENTES'!A:D,4,0)</f>
        <v>OUTROS RAMOS</v>
      </c>
      <c r="L6632" s="26" t="str">
        <f>VLOOKUP(Tabela1[[#This Row],[Cliente]],'BASE DE CLIENTES'!A:E,5,0)</f>
        <v>MERCADO LIVRE</v>
      </c>
    </row>
    <row r="6633" spans="2:12" x14ac:dyDescent="0.3">
      <c r="B6633" t="s">
        <v>1223</v>
      </c>
      <c r="C6633" s="26" t="str">
        <f>VLOOKUP(Tabela1[[#This Row],[Cliente]],'BASE DE CLIENTES'!A:E,2,0)</f>
        <v>MERCADO LIVRE</v>
      </c>
      <c r="D6633" s="26" t="str">
        <f>VLOOKUP(Tabela1[[#This Row],[Cliente]],'BASE DE CLIENTES'!A:C,3,0)</f>
        <v>MERCADO LIVRE</v>
      </c>
      <c r="E6633" s="26" t="str">
        <f>CONCATENATE(Tabela1[[#This Row],[CIDADE]],",",Tabela1[[#This Row],[UF]])</f>
        <v>MERCADO LIVRE,MERCADO LIVRE</v>
      </c>
      <c r="F6633" s="12">
        <v>46232</v>
      </c>
      <c r="G6633" s="14">
        <v>56.28</v>
      </c>
      <c r="H6633" s="13">
        <v>205.3</v>
      </c>
      <c r="I6633" s="7">
        <f>Tabela1[[#This Row],[Valor total]]-Tabela1[[#This Row],[Valor custo]]</f>
        <v>149.02000000000001</v>
      </c>
      <c r="J6633" s="27">
        <f>Tabela1[[#This Row],[MARGEM BRUTA]]/Tabela1[[#This Row],[Valor total]]</f>
        <v>0.72586458840720902</v>
      </c>
      <c r="K6633" s="26" t="str">
        <f>VLOOKUP(Tabela1[[#This Row],[Cliente]],'BASE DE CLIENTES'!A:D,4,0)</f>
        <v>OUTROS RAMOS</v>
      </c>
      <c r="L6633" s="26" t="str">
        <f>VLOOKUP(Tabela1[[#This Row],[Cliente]],'BASE DE CLIENTES'!A:E,5,0)</f>
        <v>MERCADO LIVRE</v>
      </c>
    </row>
    <row r="6634" spans="2:12" x14ac:dyDescent="0.3">
      <c r="B6634" t="s">
        <v>111</v>
      </c>
      <c r="C6634" s="26" t="str">
        <f>VLOOKUP(Tabela1[[#This Row],[Cliente]],'BASE DE CLIENTES'!A:E,2,0)</f>
        <v>Brasília</v>
      </c>
      <c r="D6634" s="26" t="str">
        <f>VLOOKUP(Tabela1[[#This Row],[Cliente]],'BASE DE CLIENTES'!A:C,3,0)</f>
        <v>DF</v>
      </c>
      <c r="E6634" s="26" t="str">
        <f>CONCATENATE(Tabela1[[#This Row],[CIDADE]],",",Tabela1[[#This Row],[UF]])</f>
        <v>Brasília,DF</v>
      </c>
      <c r="F6634" s="12">
        <v>46232</v>
      </c>
      <c r="G6634" s="14">
        <v>1458.54</v>
      </c>
      <c r="H6634" s="13">
        <v>2510</v>
      </c>
      <c r="I6634" s="7">
        <f>Tabela1[[#This Row],[Valor total]]-Tabela1[[#This Row],[Valor custo]]</f>
        <v>1051.46</v>
      </c>
      <c r="J6634" s="27">
        <f>Tabela1[[#This Row],[MARGEM BRUTA]]/Tabela1[[#This Row],[Valor total]]</f>
        <v>0.41890836653386454</v>
      </c>
      <c r="K6634" s="26" t="str">
        <f>VLOOKUP(Tabela1[[#This Row],[Cliente]],'BASE DE CLIENTES'!A:D,4,0)</f>
        <v>EMPRESA SEM MAQUINA</v>
      </c>
      <c r="L6634" s="26" t="str">
        <f>VLOOKUP(Tabela1[[#This Row],[Cliente]],'BASE DE CLIENTES'!A:E,5,0)</f>
        <v>TAGUATINGA SUL (TAGUATINGA)</v>
      </c>
    </row>
    <row r="6635" spans="2:12" x14ac:dyDescent="0.3">
      <c r="B6635" t="s">
        <v>27</v>
      </c>
      <c r="C6635" s="26" t="str">
        <f>VLOOKUP(Tabela1[[#This Row],[Cliente]],'BASE DE CLIENTES'!A:E,2,0)</f>
        <v>Brasília</v>
      </c>
      <c r="D6635" s="26" t="str">
        <f>VLOOKUP(Tabela1[[#This Row],[Cliente]],'BASE DE CLIENTES'!A:C,3,0)</f>
        <v>DF</v>
      </c>
      <c r="E6635" s="26" t="str">
        <f>CONCATENATE(Tabela1[[#This Row],[CIDADE]],",",Tabela1[[#This Row],[UF]])</f>
        <v>Brasília,DF</v>
      </c>
      <c r="F6635" s="12">
        <v>46232</v>
      </c>
      <c r="G6635" s="14">
        <v>760</v>
      </c>
      <c r="H6635" s="13">
        <v>1230</v>
      </c>
      <c r="I6635" s="7">
        <f>Tabela1[[#This Row],[Valor total]]-Tabela1[[#This Row],[Valor custo]]</f>
        <v>470</v>
      </c>
      <c r="J6635" s="27">
        <f>Tabela1[[#This Row],[MARGEM BRUTA]]/Tabela1[[#This Row],[Valor total]]</f>
        <v>0.38211382113821141</v>
      </c>
      <c r="K6635" s="26" t="str">
        <f>VLOOKUP(Tabela1[[#This Row],[Cliente]],'BASE DE CLIENTES'!A:D,4,0)</f>
        <v>EMPRESA SEM MAQUINA</v>
      </c>
      <c r="L6635" s="26" t="str">
        <f>VLOOKUP(Tabela1[[#This Row],[Cliente]],'BASE DE CLIENTES'!A:E,5,0)</f>
        <v>RECANTO DAS EMAS</v>
      </c>
    </row>
    <row r="6636" spans="2:12" x14ac:dyDescent="0.3">
      <c r="B6636" t="s">
        <v>68</v>
      </c>
      <c r="C6636" s="26" t="str">
        <f>VLOOKUP(Tabela1[[#This Row],[Cliente]],'BASE DE CLIENTES'!A:E,2,0)</f>
        <v>Brasília</v>
      </c>
      <c r="D6636" s="26" t="str">
        <f>VLOOKUP(Tabela1[[#This Row],[Cliente]],'BASE DE CLIENTES'!A:C,3,0)</f>
        <v>DF</v>
      </c>
      <c r="E6636" s="26" t="str">
        <f>CONCATENATE(Tabela1[[#This Row],[CIDADE]],",",Tabela1[[#This Row],[UF]])</f>
        <v>Brasília,DF</v>
      </c>
      <c r="F6636" s="12">
        <v>46232</v>
      </c>
      <c r="G6636" s="14">
        <v>380</v>
      </c>
      <c r="H6636" s="13">
        <v>585</v>
      </c>
      <c r="I6636" s="7">
        <f>Tabela1[[#This Row],[Valor total]]-Tabela1[[#This Row],[Valor custo]]</f>
        <v>205</v>
      </c>
      <c r="J6636" s="27">
        <f>Tabela1[[#This Row],[MARGEM BRUTA]]/Tabela1[[#This Row],[Valor total]]</f>
        <v>0.3504273504273504</v>
      </c>
      <c r="K6636" s="26" t="str">
        <f>VLOOKUP(Tabela1[[#This Row],[Cliente]],'BASE DE CLIENTES'!A:D,4,0)</f>
        <v>EMPRESA COM MAQUINA</v>
      </c>
      <c r="L6636" s="26" t="str">
        <f>VLOOKUP(Tabela1[[#This Row],[Cliente]],'BASE DE CLIENTES'!A:E,5,0)</f>
        <v>SAMAMBAIA SUL (SAMAMBAIA)</v>
      </c>
    </row>
    <row r="6637" spans="2:12" x14ac:dyDescent="0.3">
      <c r="B6637" t="s">
        <v>15</v>
      </c>
      <c r="C6637" s="26" t="str">
        <f>VLOOKUP(Tabela1[[#This Row],[Cliente]],'BASE DE CLIENTES'!A:E,2,0)</f>
        <v>Brasília</v>
      </c>
      <c r="D6637" s="26" t="str">
        <f>VLOOKUP(Tabela1[[#This Row],[Cliente]],'BASE DE CLIENTES'!A:C,3,0)</f>
        <v>DF</v>
      </c>
      <c r="E6637" s="26" t="str">
        <f>CONCATENATE(Tabela1[[#This Row],[CIDADE]],",",Tabela1[[#This Row],[UF]])</f>
        <v>Brasília,DF</v>
      </c>
      <c r="F6637" s="12">
        <v>46232</v>
      </c>
      <c r="G6637" s="14">
        <v>38</v>
      </c>
      <c r="H6637" s="13">
        <v>150</v>
      </c>
      <c r="I6637" s="7">
        <f>Tabela1[[#This Row],[Valor total]]-Tabela1[[#This Row],[Valor custo]]</f>
        <v>112</v>
      </c>
      <c r="J6637" s="27">
        <f>Tabela1[[#This Row],[MARGEM BRUTA]]/Tabela1[[#This Row],[Valor total]]</f>
        <v>0.7466666666666667</v>
      </c>
      <c r="K6637" s="26" t="str">
        <f>VLOOKUP(Tabela1[[#This Row],[Cliente]],'BASE DE CLIENTES'!A:D,4,0)</f>
        <v>SERRALHEIRO</v>
      </c>
      <c r="L6637" s="26" t="str">
        <f>VLOOKUP(Tabela1[[#This Row],[Cliente]],'BASE DE CLIENTES'!A:E,5,0)</f>
        <v>SETOR HABITACIONAL VICENTE PIRES</v>
      </c>
    </row>
    <row r="6638" spans="2:12" x14ac:dyDescent="0.3">
      <c r="B6638" t="s">
        <v>1223</v>
      </c>
      <c r="C6638" s="26" t="str">
        <f>VLOOKUP(Tabela1[[#This Row],[Cliente]],'BASE DE CLIENTES'!A:E,2,0)</f>
        <v>MERCADO LIVRE</v>
      </c>
      <c r="D6638" s="26" t="str">
        <f>VLOOKUP(Tabela1[[#This Row],[Cliente]],'BASE DE CLIENTES'!A:C,3,0)</f>
        <v>MERCADO LIVRE</v>
      </c>
      <c r="E6638" s="26" t="str">
        <f>CONCATENATE(Tabela1[[#This Row],[CIDADE]],",",Tabela1[[#This Row],[UF]])</f>
        <v>MERCADO LIVRE,MERCADO LIVRE</v>
      </c>
      <c r="F6638" s="12">
        <v>46232</v>
      </c>
      <c r="G6638" s="14">
        <v>0</v>
      </c>
      <c r="H6638" s="13">
        <v>46.79</v>
      </c>
      <c r="I6638" s="7">
        <f>Tabela1[[#This Row],[Valor total]]-Tabela1[[#This Row],[Valor custo]]</f>
        <v>46.79</v>
      </c>
      <c r="J6638" s="27">
        <f>Tabela1[[#This Row],[MARGEM BRUTA]]/Tabela1[[#This Row],[Valor total]]</f>
        <v>1</v>
      </c>
      <c r="K6638" s="26" t="str">
        <f>VLOOKUP(Tabela1[[#This Row],[Cliente]],'BASE DE CLIENTES'!A:D,4,0)</f>
        <v>OUTROS RAMOS</v>
      </c>
      <c r="L6638" s="26" t="str">
        <f>VLOOKUP(Tabela1[[#This Row],[Cliente]],'BASE DE CLIENTES'!A:E,5,0)</f>
        <v>MERCADO LIVRE</v>
      </c>
    </row>
    <row r="6639" spans="2:12" x14ac:dyDescent="0.3">
      <c r="B6639" t="s">
        <v>23</v>
      </c>
      <c r="C6639" s="26" t="str">
        <f>VLOOKUP(Tabela1[[#This Row],[Cliente]],'BASE DE CLIENTES'!A:E,2,0)</f>
        <v>Brasília</v>
      </c>
      <c r="D6639" s="26" t="str">
        <f>VLOOKUP(Tabela1[[#This Row],[Cliente]],'BASE DE CLIENTES'!A:C,3,0)</f>
        <v>DF</v>
      </c>
      <c r="E6639" s="26" t="str">
        <f>CONCATENATE(Tabela1[[#This Row],[CIDADE]],",",Tabela1[[#This Row],[UF]])</f>
        <v>Brasília,DF</v>
      </c>
      <c r="F6639" s="12">
        <v>46232</v>
      </c>
      <c r="G6639" s="14">
        <v>1046.79</v>
      </c>
      <c r="H6639" s="13">
        <v>1545</v>
      </c>
      <c r="I6639" s="7">
        <f>Tabela1[[#This Row],[Valor total]]-Tabela1[[#This Row],[Valor custo]]</f>
        <v>498.21000000000004</v>
      </c>
      <c r="J6639" s="27">
        <f>Tabela1[[#This Row],[MARGEM BRUTA]]/Tabela1[[#This Row],[Valor total]]</f>
        <v>0.32246601941747577</v>
      </c>
      <c r="K6639" s="26" t="str">
        <f>VLOOKUP(Tabela1[[#This Row],[Cliente]],'BASE DE CLIENTES'!A:D,4,0)</f>
        <v>EMPRESA SEM MAQUINA</v>
      </c>
      <c r="L6639" s="26" t="str">
        <f>VLOOKUP(Tabela1[[#This Row],[Cliente]],'BASE DE CLIENTES'!A:E,5,0)</f>
        <v>SETOR INDUSTRIAL (TAGUATINGA)</v>
      </c>
    </row>
    <row r="6640" spans="2:12" x14ac:dyDescent="0.3">
      <c r="B6640" t="s">
        <v>1223</v>
      </c>
      <c r="C6640" s="26" t="str">
        <f>VLOOKUP(Tabela1[[#This Row],[Cliente]],'BASE DE CLIENTES'!A:E,2,0)</f>
        <v>MERCADO LIVRE</v>
      </c>
      <c r="D6640" s="26" t="str">
        <f>VLOOKUP(Tabela1[[#This Row],[Cliente]],'BASE DE CLIENTES'!A:C,3,0)</f>
        <v>MERCADO LIVRE</v>
      </c>
      <c r="E6640" s="26" t="str">
        <f>CONCATENATE(Tabela1[[#This Row],[CIDADE]],",",Tabela1[[#This Row],[UF]])</f>
        <v>MERCADO LIVRE,MERCADO LIVRE</v>
      </c>
      <c r="F6640" s="12">
        <v>46232</v>
      </c>
      <c r="G6640" s="14">
        <v>56.28</v>
      </c>
      <c r="H6640" s="13">
        <v>178.87</v>
      </c>
      <c r="I6640" s="7">
        <f>Tabela1[[#This Row],[Valor total]]-Tabela1[[#This Row],[Valor custo]]</f>
        <v>122.59</v>
      </c>
      <c r="J6640" s="27">
        <f>Tabela1[[#This Row],[MARGEM BRUTA]]/Tabela1[[#This Row],[Valor total]]</f>
        <v>0.68535808128808628</v>
      </c>
      <c r="K6640" s="26" t="str">
        <f>VLOOKUP(Tabela1[[#This Row],[Cliente]],'BASE DE CLIENTES'!A:D,4,0)</f>
        <v>OUTROS RAMOS</v>
      </c>
      <c r="L6640" s="26" t="str">
        <f>VLOOKUP(Tabela1[[#This Row],[Cliente]],'BASE DE CLIENTES'!A:E,5,0)</f>
        <v>MERCADO LIVRE</v>
      </c>
    </row>
    <row r="6641" spans="2:12" x14ac:dyDescent="0.3">
      <c r="B6641" t="s">
        <v>1223</v>
      </c>
      <c r="C6641" s="26" t="str">
        <f>VLOOKUP(Tabela1[[#This Row],[Cliente]],'BASE DE CLIENTES'!A:E,2,0)</f>
        <v>MERCADO LIVRE</v>
      </c>
      <c r="D6641" s="26" t="str">
        <f>VLOOKUP(Tabela1[[#This Row],[Cliente]],'BASE DE CLIENTES'!A:C,3,0)</f>
        <v>MERCADO LIVRE</v>
      </c>
      <c r="E6641" s="26" t="str">
        <f>CONCATENATE(Tabela1[[#This Row],[CIDADE]],",",Tabela1[[#This Row],[UF]])</f>
        <v>MERCADO LIVRE,MERCADO LIVRE</v>
      </c>
      <c r="F6641" s="12">
        <v>46232</v>
      </c>
      <c r="G6641" s="14">
        <v>56.28</v>
      </c>
      <c r="H6641" s="13">
        <v>198.46</v>
      </c>
      <c r="I6641" s="7">
        <f>Tabela1[[#This Row],[Valor total]]-Tabela1[[#This Row],[Valor custo]]</f>
        <v>142.18</v>
      </c>
      <c r="J6641" s="27">
        <f>Tabela1[[#This Row],[MARGEM BRUTA]]/Tabela1[[#This Row],[Valor total]]</f>
        <v>0.71641640632873127</v>
      </c>
      <c r="K6641" s="26" t="str">
        <f>VLOOKUP(Tabela1[[#This Row],[Cliente]],'BASE DE CLIENTES'!A:D,4,0)</f>
        <v>OUTROS RAMOS</v>
      </c>
      <c r="L6641" s="26" t="str">
        <f>VLOOKUP(Tabela1[[#This Row],[Cliente]],'BASE DE CLIENTES'!A:E,5,0)</f>
        <v>MERCADO LIVRE</v>
      </c>
    </row>
    <row r="6642" spans="2:12" x14ac:dyDescent="0.3">
      <c r="B6642" t="s">
        <v>1223</v>
      </c>
      <c r="C6642" s="26" t="str">
        <f>VLOOKUP(Tabela1[[#This Row],[Cliente]],'BASE DE CLIENTES'!A:E,2,0)</f>
        <v>MERCADO LIVRE</v>
      </c>
      <c r="D6642" s="26" t="str">
        <f>VLOOKUP(Tabela1[[#This Row],[Cliente]],'BASE DE CLIENTES'!A:C,3,0)</f>
        <v>MERCADO LIVRE</v>
      </c>
      <c r="E6642" s="26" t="str">
        <f>CONCATENATE(Tabela1[[#This Row],[CIDADE]],",",Tabela1[[#This Row],[UF]])</f>
        <v>MERCADO LIVRE,MERCADO LIVRE</v>
      </c>
      <c r="F6642" s="12">
        <v>46232</v>
      </c>
      <c r="G6642" s="14">
        <v>56.28</v>
      </c>
      <c r="H6642" s="13">
        <v>178.87</v>
      </c>
      <c r="I6642" s="7">
        <f>Tabela1[[#This Row],[Valor total]]-Tabela1[[#This Row],[Valor custo]]</f>
        <v>122.59</v>
      </c>
      <c r="J6642" s="27">
        <f>Tabela1[[#This Row],[MARGEM BRUTA]]/Tabela1[[#This Row],[Valor total]]</f>
        <v>0.68535808128808628</v>
      </c>
      <c r="K6642" s="26" t="str">
        <f>VLOOKUP(Tabela1[[#This Row],[Cliente]],'BASE DE CLIENTES'!A:D,4,0)</f>
        <v>OUTROS RAMOS</v>
      </c>
      <c r="L6642" s="26" t="str">
        <f>VLOOKUP(Tabela1[[#This Row],[Cliente]],'BASE DE CLIENTES'!A:E,5,0)</f>
        <v>MERCADO LIVRE</v>
      </c>
    </row>
    <row r="6643" spans="2:12" x14ac:dyDescent="0.3">
      <c r="B6643" t="s">
        <v>96</v>
      </c>
      <c r="C6643" s="26" t="str">
        <f>VLOOKUP(Tabela1[[#This Row],[Cliente]],'BASE DE CLIENTES'!A:E,2,0)</f>
        <v>Brasília</v>
      </c>
      <c r="D6643" s="26" t="str">
        <f>VLOOKUP(Tabela1[[#This Row],[Cliente]],'BASE DE CLIENTES'!A:C,3,0)</f>
        <v>DF</v>
      </c>
      <c r="E6643" s="26" t="str">
        <f>CONCATENATE(Tabela1[[#This Row],[CIDADE]],",",Tabela1[[#This Row],[UF]])</f>
        <v>Brasília,DF</v>
      </c>
      <c r="F6643" s="12">
        <v>46232</v>
      </c>
      <c r="G6643" s="14">
        <v>191</v>
      </c>
      <c r="H6643" s="13">
        <v>299.89999999999998</v>
      </c>
      <c r="I6643" s="7">
        <f>Tabela1[[#This Row],[Valor total]]-Tabela1[[#This Row],[Valor custo]]</f>
        <v>108.89999999999998</v>
      </c>
      <c r="J6643" s="27">
        <f>Tabela1[[#This Row],[MARGEM BRUTA]]/Tabela1[[#This Row],[Valor total]]</f>
        <v>0.36312104034678222</v>
      </c>
      <c r="K6643" s="26" t="str">
        <f>VLOOKUP(Tabela1[[#This Row],[Cliente]],'BASE DE CLIENTES'!A:D,4,0)</f>
        <v>EMPRESA SEM MAQUINA</v>
      </c>
      <c r="L6643" s="26" t="str">
        <f>VLOOKUP(Tabela1[[#This Row],[Cliente]],'BASE DE CLIENTES'!A:E,5,0)</f>
        <v>CEILANDIA NORTE (CEILANDIA)</v>
      </c>
    </row>
    <row r="6644" spans="2:12" x14ac:dyDescent="0.3">
      <c r="B6644" t="s">
        <v>19</v>
      </c>
      <c r="C6644" s="26" t="str">
        <f>VLOOKUP(Tabela1[[#This Row],[Cliente]],'BASE DE CLIENTES'!A:E,2,0)</f>
        <v>Águas Lindas de Goiás</v>
      </c>
      <c r="D6644" s="26" t="str">
        <f>VLOOKUP(Tabela1[[#This Row],[Cliente]],'BASE DE CLIENTES'!A:C,3,0)</f>
        <v>GO</v>
      </c>
      <c r="E6644" s="26" t="str">
        <f>CONCATENATE(Tabela1[[#This Row],[CIDADE]],",",Tabela1[[#This Row],[UF]])</f>
        <v>Águas Lindas de Goiás,GO</v>
      </c>
      <c r="F6644" s="12">
        <v>46232</v>
      </c>
      <c r="G6644" s="14">
        <v>419</v>
      </c>
      <c r="H6644" s="13">
        <v>700</v>
      </c>
      <c r="I6644" s="7">
        <f>Tabela1[[#This Row],[Valor total]]-Tabela1[[#This Row],[Valor custo]]</f>
        <v>281</v>
      </c>
      <c r="J6644" s="27">
        <f>Tabela1[[#This Row],[MARGEM BRUTA]]/Tabela1[[#This Row],[Valor total]]</f>
        <v>0.40142857142857141</v>
      </c>
      <c r="K6644" s="26" t="str">
        <f>VLOOKUP(Tabela1[[#This Row],[Cliente]],'BASE DE CLIENTES'!A:D,4,0)</f>
        <v>SERRALHEIRO</v>
      </c>
      <c r="L6644" s="26" t="str">
        <f>VLOOKUP(Tabela1[[#This Row],[Cliente]],'BASE DE CLIENTES'!A:E,5,0)</f>
        <v>Águas Lindas de Goiás</v>
      </c>
    </row>
    <row r="6645" spans="2:12" x14ac:dyDescent="0.3">
      <c r="B6645" t="s">
        <v>1223</v>
      </c>
      <c r="C6645" s="26" t="str">
        <f>VLOOKUP(Tabela1[[#This Row],[Cliente]],'BASE DE CLIENTES'!A:E,2,0)</f>
        <v>MERCADO LIVRE</v>
      </c>
      <c r="D6645" s="26" t="str">
        <f>VLOOKUP(Tabela1[[#This Row],[Cliente]],'BASE DE CLIENTES'!A:C,3,0)</f>
        <v>MERCADO LIVRE</v>
      </c>
      <c r="E6645" s="26" t="str">
        <f>CONCATENATE(Tabela1[[#This Row],[CIDADE]],",",Tabela1[[#This Row],[UF]])</f>
        <v>MERCADO LIVRE,MERCADO LIVRE</v>
      </c>
      <c r="F6645" s="12">
        <v>46232</v>
      </c>
      <c r="G6645" s="14">
        <v>42</v>
      </c>
      <c r="H6645" s="13">
        <v>37.39</v>
      </c>
      <c r="I6645" s="7">
        <f>Tabela1[[#This Row],[Valor total]]-Tabela1[[#This Row],[Valor custo]]</f>
        <v>-4.6099999999999994</v>
      </c>
      <c r="J6645" s="27">
        <f>Tabela1[[#This Row],[MARGEM BRUTA]]/Tabela1[[#This Row],[Valor total]]</f>
        <v>-0.12329499866274403</v>
      </c>
      <c r="K6645" s="26" t="str">
        <f>VLOOKUP(Tabela1[[#This Row],[Cliente]],'BASE DE CLIENTES'!A:D,4,0)</f>
        <v>OUTROS RAMOS</v>
      </c>
      <c r="L6645" s="26" t="str">
        <f>VLOOKUP(Tabela1[[#This Row],[Cliente]],'BASE DE CLIENTES'!A:E,5,0)</f>
        <v>MERCADO LIVRE</v>
      </c>
    </row>
    <row r="6646" spans="2:12" x14ac:dyDescent="0.3">
      <c r="B6646" t="s">
        <v>1223</v>
      </c>
      <c r="C6646" s="26" t="str">
        <f>VLOOKUP(Tabela1[[#This Row],[Cliente]],'BASE DE CLIENTES'!A:E,2,0)</f>
        <v>MERCADO LIVRE</v>
      </c>
      <c r="D6646" s="26" t="str">
        <f>VLOOKUP(Tabela1[[#This Row],[Cliente]],'BASE DE CLIENTES'!A:C,3,0)</f>
        <v>MERCADO LIVRE</v>
      </c>
      <c r="E6646" s="26" t="str">
        <f>CONCATENATE(Tabela1[[#This Row],[CIDADE]],",",Tabela1[[#This Row],[UF]])</f>
        <v>MERCADO LIVRE,MERCADO LIVRE</v>
      </c>
      <c r="F6646" s="12">
        <v>46232</v>
      </c>
      <c r="G6646" s="14">
        <v>168</v>
      </c>
      <c r="H6646" s="13">
        <v>149.56</v>
      </c>
      <c r="I6646" s="7">
        <f>Tabela1[[#This Row],[Valor total]]-Tabela1[[#This Row],[Valor custo]]</f>
        <v>-18.439999999999998</v>
      </c>
      <c r="J6646" s="27">
        <f>Tabela1[[#This Row],[MARGEM BRUTA]]/Tabela1[[#This Row],[Valor total]]</f>
        <v>-0.12329499866274403</v>
      </c>
      <c r="K6646" s="26" t="str">
        <f>VLOOKUP(Tabela1[[#This Row],[Cliente]],'BASE DE CLIENTES'!A:D,4,0)</f>
        <v>OUTROS RAMOS</v>
      </c>
      <c r="L6646" s="26" t="str">
        <f>VLOOKUP(Tabela1[[#This Row],[Cliente]],'BASE DE CLIENTES'!A:E,5,0)</f>
        <v>MERCADO LIVRE</v>
      </c>
    </row>
    <row r="6647" spans="2:12" x14ac:dyDescent="0.3">
      <c r="B6647" t="s">
        <v>1223</v>
      </c>
      <c r="C6647" s="26" t="str">
        <f>VLOOKUP(Tabela1[[#This Row],[Cliente]],'BASE DE CLIENTES'!A:E,2,0)</f>
        <v>MERCADO LIVRE</v>
      </c>
      <c r="D6647" s="26" t="str">
        <f>VLOOKUP(Tabela1[[#This Row],[Cliente]],'BASE DE CLIENTES'!A:C,3,0)</f>
        <v>MERCADO LIVRE</v>
      </c>
      <c r="E6647" s="26" t="str">
        <f>CONCATENATE(Tabela1[[#This Row],[CIDADE]],",",Tabela1[[#This Row],[UF]])</f>
        <v>MERCADO LIVRE,MERCADO LIVRE</v>
      </c>
      <c r="F6647" s="12">
        <v>46232</v>
      </c>
      <c r="G6647" s="14">
        <v>42</v>
      </c>
      <c r="H6647" s="13">
        <v>37.39</v>
      </c>
      <c r="I6647" s="7">
        <f>Tabela1[[#This Row],[Valor total]]-Tabela1[[#This Row],[Valor custo]]</f>
        <v>-4.6099999999999994</v>
      </c>
      <c r="J6647" s="27">
        <f>Tabela1[[#This Row],[MARGEM BRUTA]]/Tabela1[[#This Row],[Valor total]]</f>
        <v>-0.12329499866274403</v>
      </c>
      <c r="K6647" s="26" t="str">
        <f>VLOOKUP(Tabela1[[#This Row],[Cliente]],'BASE DE CLIENTES'!A:D,4,0)</f>
        <v>OUTROS RAMOS</v>
      </c>
      <c r="L6647" s="26" t="str">
        <f>VLOOKUP(Tabela1[[#This Row],[Cliente]],'BASE DE CLIENTES'!A:E,5,0)</f>
        <v>MERCADO LIVRE</v>
      </c>
    </row>
    <row r="6648" spans="2:12" x14ac:dyDescent="0.3">
      <c r="B6648" t="s">
        <v>17</v>
      </c>
      <c r="C6648" s="26" t="str">
        <f>VLOOKUP(Tabela1[[#This Row],[Cliente]],'BASE DE CLIENTES'!A:E,2,0)</f>
        <v>Águas Lindas de Goiás</v>
      </c>
      <c r="D6648" s="26" t="str">
        <f>VLOOKUP(Tabela1[[#This Row],[Cliente]],'BASE DE CLIENTES'!A:C,3,0)</f>
        <v>GO</v>
      </c>
      <c r="E6648" s="26" t="str">
        <f>CONCATENATE(Tabela1[[#This Row],[CIDADE]],",",Tabela1[[#This Row],[UF]])</f>
        <v>Águas Lindas de Goiás,GO</v>
      </c>
      <c r="F6648" s="12">
        <v>46232</v>
      </c>
      <c r="G6648" s="14">
        <v>824</v>
      </c>
      <c r="H6648" s="13">
        <v>1420</v>
      </c>
      <c r="I6648" s="7">
        <f>Tabela1[[#This Row],[Valor total]]-Tabela1[[#This Row],[Valor custo]]</f>
        <v>596</v>
      </c>
      <c r="J6648" s="27">
        <f>Tabela1[[#This Row],[MARGEM BRUTA]]/Tabela1[[#This Row],[Valor total]]</f>
        <v>0.41971830985915493</v>
      </c>
      <c r="K6648" s="26" t="str">
        <f>VLOOKUP(Tabela1[[#This Row],[Cliente]],'BASE DE CLIENTES'!A:D,4,0)</f>
        <v>SERRALHEIRO</v>
      </c>
      <c r="L6648" s="26" t="str">
        <f>VLOOKUP(Tabela1[[#This Row],[Cliente]],'BASE DE CLIENTES'!A:E,5,0)</f>
        <v>Águas Lindas de Goiás</v>
      </c>
    </row>
    <row r="6649" spans="2:12" x14ac:dyDescent="0.3">
      <c r="B6649" t="s">
        <v>255</v>
      </c>
      <c r="C6649" s="26" t="str">
        <f>VLOOKUP(Tabela1[[#This Row],[Cliente]],'BASE DE CLIENTES'!A:E,2,0)</f>
        <v>Brasília</v>
      </c>
      <c r="D6649" s="26" t="str">
        <f>VLOOKUP(Tabela1[[#This Row],[Cliente]],'BASE DE CLIENTES'!A:C,3,0)</f>
        <v>DF</v>
      </c>
      <c r="E6649" s="26" t="str">
        <f>CONCATENATE(Tabela1[[#This Row],[CIDADE]],",",Tabela1[[#This Row],[UF]])</f>
        <v>Brasília,DF</v>
      </c>
      <c r="F6649" s="12">
        <v>46232</v>
      </c>
      <c r="G6649" s="14">
        <v>876</v>
      </c>
      <c r="H6649" s="13">
        <v>1430</v>
      </c>
      <c r="I6649" s="7">
        <f>Tabela1[[#This Row],[Valor total]]-Tabela1[[#This Row],[Valor custo]]</f>
        <v>554</v>
      </c>
      <c r="J6649" s="27">
        <f>Tabela1[[#This Row],[MARGEM BRUTA]]/Tabela1[[#This Row],[Valor total]]</f>
        <v>0.38741258741258744</v>
      </c>
      <c r="K6649" s="26" t="str">
        <f>VLOOKUP(Tabela1[[#This Row],[Cliente]],'BASE DE CLIENTES'!A:D,4,0)</f>
        <v>EMPRESA COM MAQUINA</v>
      </c>
      <c r="L6649" s="26" t="str">
        <f>VLOOKUP(Tabela1[[#This Row],[Cliente]],'BASE DE CLIENTES'!A:E,5,0)</f>
        <v>ADE ÁGUAS CLARAS</v>
      </c>
    </row>
    <row r="6650" spans="2:12" x14ac:dyDescent="0.3">
      <c r="B6650" t="s">
        <v>195</v>
      </c>
      <c r="C6650" s="26" t="str">
        <f>VLOOKUP(Tabela1[[#This Row],[Cliente]],'BASE DE CLIENTES'!A:E,2,0)</f>
        <v>Goiânia</v>
      </c>
      <c r="D6650" s="26" t="str">
        <f>VLOOKUP(Tabela1[[#This Row],[Cliente]],'BASE DE CLIENTES'!A:C,3,0)</f>
        <v>GO</v>
      </c>
      <c r="E6650" s="26" t="str">
        <f>CONCATENATE(Tabela1[[#This Row],[CIDADE]],",",Tabela1[[#This Row],[UF]])</f>
        <v>Goiânia,GO</v>
      </c>
      <c r="F6650" s="12">
        <v>46232</v>
      </c>
      <c r="G6650" s="14">
        <v>119397.26</v>
      </c>
      <c r="H6650" s="13">
        <v>165000</v>
      </c>
      <c r="I6650" s="7">
        <f>Tabela1[[#This Row],[Valor total]]-Tabela1[[#This Row],[Valor custo]]</f>
        <v>45602.740000000005</v>
      </c>
      <c r="J6650" s="27">
        <f>Tabela1[[#This Row],[MARGEM BRUTA]]/Tabela1[[#This Row],[Valor total]]</f>
        <v>0.27638024242424247</v>
      </c>
      <c r="K6650" s="26" t="str">
        <f>VLOOKUP(Tabela1[[#This Row],[Cliente]],'BASE DE CLIENTES'!A:D,4,0)</f>
        <v>EMPRESA COM MAQUINA</v>
      </c>
      <c r="L6650" s="26" t="str">
        <f>VLOOKUP(Tabela1[[#This Row],[Cliente]],'BASE DE CLIENTES'!A:E,5,0)</f>
        <v>Goiânia</v>
      </c>
    </row>
    <row r="6651" spans="2:12" x14ac:dyDescent="0.3">
      <c r="B6651" t="s">
        <v>38</v>
      </c>
      <c r="C6651" s="26" t="str">
        <f>VLOOKUP(Tabela1[[#This Row],[Cliente]],'BASE DE CLIENTES'!A:E,2,0)</f>
        <v>Brasília</v>
      </c>
      <c r="D6651" s="26" t="str">
        <f>VLOOKUP(Tabela1[[#This Row],[Cliente]],'BASE DE CLIENTES'!A:C,3,0)</f>
        <v>DF</v>
      </c>
      <c r="E6651" s="26" t="str">
        <f>CONCATENATE(Tabela1[[#This Row],[CIDADE]],",",Tabela1[[#This Row],[UF]])</f>
        <v>Brasília,DF</v>
      </c>
      <c r="F6651" s="12">
        <v>46232</v>
      </c>
      <c r="G6651" s="14">
        <v>15.2</v>
      </c>
      <c r="H6651" s="13">
        <v>140</v>
      </c>
      <c r="I6651" s="7">
        <f>Tabela1[[#This Row],[Valor total]]-Tabela1[[#This Row],[Valor custo]]</f>
        <v>124.8</v>
      </c>
      <c r="J6651" s="27">
        <f>Tabela1[[#This Row],[MARGEM BRUTA]]/Tabela1[[#This Row],[Valor total]]</f>
        <v>0.89142857142857146</v>
      </c>
      <c r="K6651" s="26" t="str">
        <f>VLOOKUP(Tabela1[[#This Row],[Cliente]],'BASE DE CLIENTES'!A:D,4,0)</f>
        <v>EMPRESA SEM MAQUINA</v>
      </c>
      <c r="L6651" s="26" t="str">
        <f>VLOOKUP(Tabela1[[#This Row],[Cliente]],'BASE DE CLIENTES'!A:E,5,0)</f>
        <v>PONTE ALTA NORTE (GAMA)</v>
      </c>
    </row>
    <row r="6652" spans="2:12" x14ac:dyDescent="0.3">
      <c r="B6652" t="s">
        <v>1223</v>
      </c>
      <c r="C6652" s="26" t="str">
        <f>VLOOKUP(Tabela1[[#This Row],[Cliente]],'BASE DE CLIENTES'!A:E,2,0)</f>
        <v>MERCADO LIVRE</v>
      </c>
      <c r="D6652" s="26" t="str">
        <f>VLOOKUP(Tabela1[[#This Row],[Cliente]],'BASE DE CLIENTES'!A:C,3,0)</f>
        <v>MERCADO LIVRE</v>
      </c>
      <c r="E6652" s="26" t="str">
        <f>CONCATENATE(Tabela1[[#This Row],[CIDADE]],",",Tabela1[[#This Row],[UF]])</f>
        <v>MERCADO LIVRE,MERCADO LIVRE</v>
      </c>
      <c r="F6652" s="12">
        <v>46232</v>
      </c>
      <c r="G6652" s="14">
        <v>56.28</v>
      </c>
      <c r="H6652" s="13">
        <v>252.85</v>
      </c>
      <c r="I6652" s="7">
        <f>Tabela1[[#This Row],[Valor total]]-Tabela1[[#This Row],[Valor custo]]</f>
        <v>196.57</v>
      </c>
      <c r="J6652" s="27">
        <f>Tabela1[[#This Row],[MARGEM BRUTA]]/Tabela1[[#This Row],[Valor total]]</f>
        <v>0.77741744117065448</v>
      </c>
      <c r="K6652" s="26" t="str">
        <f>VLOOKUP(Tabela1[[#This Row],[Cliente]],'BASE DE CLIENTES'!A:D,4,0)</f>
        <v>OUTROS RAMOS</v>
      </c>
      <c r="L6652" s="26" t="str">
        <f>VLOOKUP(Tabela1[[#This Row],[Cliente]],'BASE DE CLIENTES'!A:E,5,0)</f>
        <v>MERCADO LIVRE</v>
      </c>
    </row>
    <row r="6653" spans="2:12" x14ac:dyDescent="0.3">
      <c r="B6653" t="s">
        <v>1141</v>
      </c>
      <c r="C6653" s="26" t="str">
        <f>VLOOKUP(Tabela1[[#This Row],[Cliente]],'BASE DE CLIENTES'!A:E,2,0)</f>
        <v>Aparecida de Goiânia</v>
      </c>
      <c r="D6653" s="26" t="str">
        <f>VLOOKUP(Tabela1[[#This Row],[Cliente]],'BASE DE CLIENTES'!A:C,3,0)</f>
        <v>GO</v>
      </c>
      <c r="E6653" s="26" t="str">
        <f>CONCATENATE(Tabela1[[#This Row],[CIDADE]],",",Tabela1[[#This Row],[UF]])</f>
        <v>Aparecida de Goiânia,GO</v>
      </c>
      <c r="F6653" s="12">
        <v>46232</v>
      </c>
      <c r="G6653" s="14">
        <v>720</v>
      </c>
      <c r="H6653" s="13">
        <v>1350</v>
      </c>
      <c r="I6653" s="7">
        <f>Tabela1[[#This Row],[Valor total]]-Tabela1[[#This Row],[Valor custo]]</f>
        <v>630</v>
      </c>
      <c r="J6653" s="27">
        <f>Tabela1[[#This Row],[MARGEM BRUTA]]/Tabela1[[#This Row],[Valor total]]</f>
        <v>0.46666666666666667</v>
      </c>
      <c r="K6653" s="26" t="str">
        <f>VLOOKUP(Tabela1[[#This Row],[Cliente]],'BASE DE CLIENTES'!A:D,4,0)</f>
        <v>CLIENTE NOVO S/ IDENT.</v>
      </c>
      <c r="L6653" s="26" t="str">
        <f>VLOOKUP(Tabela1[[#This Row],[Cliente]],'BASE DE CLIENTES'!A:E,5,0)</f>
        <v>Aparecida de Goiânia</v>
      </c>
    </row>
    <row r="6654" spans="2:12" x14ac:dyDescent="0.3">
      <c r="B6654" t="s">
        <v>1223</v>
      </c>
      <c r="C6654" s="26" t="str">
        <f>VLOOKUP(Tabela1[[#This Row],[Cliente]],'BASE DE CLIENTES'!A:E,2,0)</f>
        <v>MERCADO LIVRE</v>
      </c>
      <c r="D6654" s="26" t="str">
        <f>VLOOKUP(Tabela1[[#This Row],[Cliente]],'BASE DE CLIENTES'!A:C,3,0)</f>
        <v>MERCADO LIVRE</v>
      </c>
      <c r="E6654" s="26" t="str">
        <f>CONCATENATE(Tabela1[[#This Row],[CIDADE]],",",Tabela1[[#This Row],[UF]])</f>
        <v>MERCADO LIVRE,MERCADO LIVRE</v>
      </c>
      <c r="F6654" s="12">
        <v>46232</v>
      </c>
      <c r="G6654" s="14">
        <v>42</v>
      </c>
      <c r="H6654" s="13">
        <v>37.39</v>
      </c>
      <c r="I6654" s="7">
        <f>Tabela1[[#This Row],[Valor total]]-Tabela1[[#This Row],[Valor custo]]</f>
        <v>-4.6099999999999994</v>
      </c>
      <c r="J6654" s="27">
        <f>Tabela1[[#This Row],[MARGEM BRUTA]]/Tabela1[[#This Row],[Valor total]]</f>
        <v>-0.12329499866274403</v>
      </c>
      <c r="K6654" s="26" t="str">
        <f>VLOOKUP(Tabela1[[#This Row],[Cliente]],'BASE DE CLIENTES'!A:D,4,0)</f>
        <v>OUTROS RAMOS</v>
      </c>
      <c r="L6654" s="26" t="str">
        <f>VLOOKUP(Tabela1[[#This Row],[Cliente]],'BASE DE CLIENTES'!A:E,5,0)</f>
        <v>MERCADO LIVRE</v>
      </c>
    </row>
    <row r="6655" spans="2:12" x14ac:dyDescent="0.3">
      <c r="B6655" t="s">
        <v>1223</v>
      </c>
      <c r="C6655" s="26" t="str">
        <f>VLOOKUP(Tabela1[[#This Row],[Cliente]],'BASE DE CLIENTES'!A:E,2,0)</f>
        <v>MERCADO LIVRE</v>
      </c>
      <c r="D6655" s="26" t="str">
        <f>VLOOKUP(Tabela1[[#This Row],[Cliente]],'BASE DE CLIENTES'!A:C,3,0)</f>
        <v>MERCADO LIVRE</v>
      </c>
      <c r="E6655" s="26" t="str">
        <f>CONCATENATE(Tabela1[[#This Row],[CIDADE]],",",Tabela1[[#This Row],[UF]])</f>
        <v>MERCADO LIVRE,MERCADO LIVRE</v>
      </c>
      <c r="F6655" s="12">
        <v>46232</v>
      </c>
      <c r="G6655" s="14">
        <v>42</v>
      </c>
      <c r="H6655" s="13">
        <v>37.14</v>
      </c>
      <c r="I6655" s="7">
        <f>Tabela1[[#This Row],[Valor total]]-Tabela1[[#This Row],[Valor custo]]</f>
        <v>-4.8599999999999994</v>
      </c>
      <c r="J6655" s="27">
        <f>Tabela1[[#This Row],[MARGEM BRUTA]]/Tabela1[[#This Row],[Valor total]]</f>
        <v>-0.13085621970920838</v>
      </c>
      <c r="K6655" s="26" t="str">
        <f>VLOOKUP(Tabela1[[#This Row],[Cliente]],'BASE DE CLIENTES'!A:D,4,0)</f>
        <v>OUTROS RAMOS</v>
      </c>
      <c r="L6655" s="26" t="str">
        <f>VLOOKUP(Tabela1[[#This Row],[Cliente]],'BASE DE CLIENTES'!A:E,5,0)</f>
        <v>MERCADO LIVRE</v>
      </c>
    </row>
    <row r="6656" spans="2:12" x14ac:dyDescent="0.3">
      <c r="B6656" t="s">
        <v>1223</v>
      </c>
      <c r="C6656" s="26" t="str">
        <f>VLOOKUP(Tabela1[[#This Row],[Cliente]],'BASE DE CLIENTES'!A:E,2,0)</f>
        <v>MERCADO LIVRE</v>
      </c>
      <c r="D6656" s="26" t="str">
        <f>VLOOKUP(Tabela1[[#This Row],[Cliente]],'BASE DE CLIENTES'!A:C,3,0)</f>
        <v>MERCADO LIVRE</v>
      </c>
      <c r="E6656" s="26" t="str">
        <f>CONCATENATE(Tabela1[[#This Row],[CIDADE]],",",Tabela1[[#This Row],[UF]])</f>
        <v>MERCADO LIVRE,MERCADO LIVRE</v>
      </c>
      <c r="F6656" s="12">
        <v>46232</v>
      </c>
      <c r="G6656" s="14">
        <v>126</v>
      </c>
      <c r="H6656" s="13">
        <v>123.92</v>
      </c>
      <c r="I6656" s="7">
        <f>Tabela1[[#This Row],[Valor total]]-Tabela1[[#This Row],[Valor custo]]</f>
        <v>-2.0799999999999983</v>
      </c>
      <c r="J6656" s="27">
        <f>Tabela1[[#This Row],[MARGEM BRUTA]]/Tabela1[[#This Row],[Valor total]]</f>
        <v>-1.6785022595222712E-2</v>
      </c>
      <c r="K6656" s="26" t="str">
        <f>VLOOKUP(Tabela1[[#This Row],[Cliente]],'BASE DE CLIENTES'!A:D,4,0)</f>
        <v>OUTROS RAMOS</v>
      </c>
      <c r="L6656" s="26" t="str">
        <f>VLOOKUP(Tabela1[[#This Row],[Cliente]],'BASE DE CLIENTES'!A:E,5,0)</f>
        <v>MERCADO LIVRE</v>
      </c>
    </row>
    <row r="6657" spans="2:12" x14ac:dyDescent="0.3">
      <c r="B6657" t="s">
        <v>1223</v>
      </c>
      <c r="C6657" s="26" t="str">
        <f>VLOOKUP(Tabela1[[#This Row],[Cliente]],'BASE DE CLIENTES'!A:E,2,0)</f>
        <v>MERCADO LIVRE</v>
      </c>
      <c r="D6657" s="26" t="str">
        <f>VLOOKUP(Tabela1[[#This Row],[Cliente]],'BASE DE CLIENTES'!A:C,3,0)</f>
        <v>MERCADO LIVRE</v>
      </c>
      <c r="E6657" s="26" t="str">
        <f>CONCATENATE(Tabela1[[#This Row],[CIDADE]],",",Tabela1[[#This Row],[UF]])</f>
        <v>MERCADO LIVRE,MERCADO LIVRE</v>
      </c>
      <c r="F6657" s="12">
        <v>46232</v>
      </c>
      <c r="G6657" s="14">
        <v>42</v>
      </c>
      <c r="H6657" s="13">
        <v>37.14</v>
      </c>
      <c r="I6657" s="7">
        <f>Tabela1[[#This Row],[Valor total]]-Tabela1[[#This Row],[Valor custo]]</f>
        <v>-4.8599999999999994</v>
      </c>
      <c r="J6657" s="27">
        <f>Tabela1[[#This Row],[MARGEM BRUTA]]/Tabela1[[#This Row],[Valor total]]</f>
        <v>-0.13085621970920838</v>
      </c>
      <c r="K6657" s="26" t="str">
        <f>VLOOKUP(Tabela1[[#This Row],[Cliente]],'BASE DE CLIENTES'!A:D,4,0)</f>
        <v>OUTROS RAMOS</v>
      </c>
      <c r="L6657" s="26" t="str">
        <f>VLOOKUP(Tabela1[[#This Row],[Cliente]],'BASE DE CLIENTES'!A:E,5,0)</f>
        <v>MERCADO LIVRE</v>
      </c>
    </row>
    <row r="6658" spans="2:12" x14ac:dyDescent="0.3">
      <c r="B6658" t="s">
        <v>1223</v>
      </c>
      <c r="C6658" s="26" t="str">
        <f>VLOOKUP(Tabela1[[#This Row],[Cliente]],'BASE DE CLIENTES'!A:E,2,0)</f>
        <v>MERCADO LIVRE</v>
      </c>
      <c r="D6658" s="26" t="str">
        <f>VLOOKUP(Tabela1[[#This Row],[Cliente]],'BASE DE CLIENTES'!A:C,3,0)</f>
        <v>MERCADO LIVRE</v>
      </c>
      <c r="E6658" s="26" t="str">
        <f>CONCATENATE(Tabela1[[#This Row],[CIDADE]],",",Tabela1[[#This Row],[UF]])</f>
        <v>MERCADO LIVRE,MERCADO LIVRE</v>
      </c>
      <c r="F6658" s="12">
        <v>46232</v>
      </c>
      <c r="G6658" s="14">
        <v>42</v>
      </c>
      <c r="H6658" s="13">
        <v>41.31</v>
      </c>
      <c r="I6658" s="7">
        <f>Tabela1[[#This Row],[Valor total]]-Tabela1[[#This Row],[Valor custo]]</f>
        <v>-0.68999999999999773</v>
      </c>
      <c r="J6658" s="27">
        <f>Tabela1[[#This Row],[MARGEM BRUTA]]/Tabela1[[#This Row],[Valor total]]</f>
        <v>-1.6702977487291156E-2</v>
      </c>
      <c r="K6658" s="26" t="str">
        <f>VLOOKUP(Tabela1[[#This Row],[Cliente]],'BASE DE CLIENTES'!A:D,4,0)</f>
        <v>OUTROS RAMOS</v>
      </c>
      <c r="L6658" s="26" t="str">
        <f>VLOOKUP(Tabela1[[#This Row],[Cliente]],'BASE DE CLIENTES'!A:E,5,0)</f>
        <v>MERCADO LIVRE</v>
      </c>
    </row>
    <row r="6659" spans="2:12" x14ac:dyDescent="0.3">
      <c r="B6659" t="s">
        <v>1223</v>
      </c>
      <c r="C6659" s="26" t="str">
        <f>VLOOKUP(Tabela1[[#This Row],[Cliente]],'BASE DE CLIENTES'!A:E,2,0)</f>
        <v>MERCADO LIVRE</v>
      </c>
      <c r="D6659" s="26" t="str">
        <f>VLOOKUP(Tabela1[[#This Row],[Cliente]],'BASE DE CLIENTES'!A:C,3,0)</f>
        <v>MERCADO LIVRE</v>
      </c>
      <c r="E6659" s="26" t="str">
        <f>CONCATENATE(Tabela1[[#This Row],[CIDADE]],",",Tabela1[[#This Row],[UF]])</f>
        <v>MERCADO LIVRE,MERCADO LIVRE</v>
      </c>
      <c r="F6659" s="12">
        <v>46231</v>
      </c>
      <c r="G6659" s="14">
        <v>0</v>
      </c>
      <c r="H6659" s="13">
        <v>129.31</v>
      </c>
      <c r="I6659" s="7">
        <f>Tabela1[[#This Row],[Valor total]]-Tabela1[[#This Row],[Valor custo]]</f>
        <v>129.31</v>
      </c>
      <c r="J6659" s="27">
        <f>Tabela1[[#This Row],[MARGEM BRUTA]]/Tabela1[[#This Row],[Valor total]]</f>
        <v>1</v>
      </c>
      <c r="K6659" s="26" t="str">
        <f>VLOOKUP(Tabela1[[#This Row],[Cliente]],'BASE DE CLIENTES'!A:D,4,0)</f>
        <v>OUTROS RAMOS</v>
      </c>
      <c r="L6659" s="26" t="str">
        <f>VLOOKUP(Tabela1[[#This Row],[Cliente]],'BASE DE CLIENTES'!A:E,5,0)</f>
        <v>MERCADO LIVRE</v>
      </c>
    </row>
    <row r="6660" spans="2:12" x14ac:dyDescent="0.3">
      <c r="B6660" t="s">
        <v>68</v>
      </c>
      <c r="C6660" s="26" t="str">
        <f>VLOOKUP(Tabela1[[#This Row],[Cliente]],'BASE DE CLIENTES'!A:E,2,0)</f>
        <v>Brasília</v>
      </c>
      <c r="D6660" s="26" t="str">
        <f>VLOOKUP(Tabela1[[#This Row],[Cliente]],'BASE DE CLIENTES'!A:C,3,0)</f>
        <v>DF</v>
      </c>
      <c r="E6660" s="26" t="str">
        <f>CONCATENATE(Tabela1[[#This Row],[CIDADE]],",",Tabela1[[#This Row],[UF]])</f>
        <v>Brasília,DF</v>
      </c>
      <c r="F6660" s="12">
        <v>46231</v>
      </c>
      <c r="G6660" s="14">
        <v>486.18</v>
      </c>
      <c r="H6660" s="13">
        <v>785</v>
      </c>
      <c r="I6660" s="7">
        <f>Tabela1[[#This Row],[Valor total]]-Tabela1[[#This Row],[Valor custo]]</f>
        <v>298.82</v>
      </c>
      <c r="J6660" s="27">
        <f>Tabela1[[#This Row],[MARGEM BRUTA]]/Tabela1[[#This Row],[Valor total]]</f>
        <v>0.38066242038216558</v>
      </c>
      <c r="K6660" s="26" t="str">
        <f>VLOOKUP(Tabela1[[#This Row],[Cliente]],'BASE DE CLIENTES'!A:D,4,0)</f>
        <v>EMPRESA COM MAQUINA</v>
      </c>
      <c r="L6660" s="26" t="str">
        <f>VLOOKUP(Tabela1[[#This Row],[Cliente]],'BASE DE CLIENTES'!A:E,5,0)</f>
        <v>SAMAMBAIA SUL (SAMAMBAIA)</v>
      </c>
    </row>
    <row r="6661" spans="2:12" x14ac:dyDescent="0.3">
      <c r="B6661" t="s">
        <v>92</v>
      </c>
      <c r="C6661" s="26" t="str">
        <f>VLOOKUP(Tabela1[[#This Row],[Cliente]],'BASE DE CLIENTES'!A:E,2,0)</f>
        <v>Brasília</v>
      </c>
      <c r="D6661" s="26" t="str">
        <f>VLOOKUP(Tabela1[[#This Row],[Cliente]],'BASE DE CLIENTES'!A:C,3,0)</f>
        <v>DF</v>
      </c>
      <c r="E6661" s="26" t="str">
        <f>CONCATENATE(Tabela1[[#This Row],[CIDADE]],",",Tabela1[[#This Row],[UF]])</f>
        <v>Brasília,DF</v>
      </c>
      <c r="F6661" s="12">
        <v>46231</v>
      </c>
      <c r="G6661" s="14">
        <v>115.06</v>
      </c>
      <c r="H6661" s="13">
        <v>280</v>
      </c>
      <c r="I6661" s="7">
        <f>Tabela1[[#This Row],[Valor total]]-Tabela1[[#This Row],[Valor custo]]</f>
        <v>164.94</v>
      </c>
      <c r="J6661" s="27">
        <f>Tabela1[[#This Row],[MARGEM BRUTA]]/Tabela1[[#This Row],[Valor total]]</f>
        <v>0.58907142857142858</v>
      </c>
      <c r="K6661" s="26" t="str">
        <f>VLOOKUP(Tabela1[[#This Row],[Cliente]],'BASE DE CLIENTES'!A:D,4,0)</f>
        <v>EMPRESA SEM MAQUINA</v>
      </c>
      <c r="L6661" s="26" t="str">
        <f>VLOOKUP(Tabela1[[#This Row],[Cliente]],'BASE DE CLIENTES'!A:E,5,0)</f>
        <v>SOBRADINHO</v>
      </c>
    </row>
    <row r="6662" spans="2:12" x14ac:dyDescent="0.3">
      <c r="B6662" t="s">
        <v>15</v>
      </c>
      <c r="C6662" s="26" t="str">
        <f>VLOOKUP(Tabela1[[#This Row],[Cliente]],'BASE DE CLIENTES'!A:E,2,0)</f>
        <v>Brasília</v>
      </c>
      <c r="D6662" s="26" t="str">
        <f>VLOOKUP(Tabela1[[#This Row],[Cliente]],'BASE DE CLIENTES'!A:C,3,0)</f>
        <v>DF</v>
      </c>
      <c r="E6662" s="26" t="str">
        <f>CONCATENATE(Tabela1[[#This Row],[CIDADE]],",",Tabela1[[#This Row],[UF]])</f>
        <v>Brasília,DF</v>
      </c>
      <c r="F6662" s="12">
        <v>46231</v>
      </c>
      <c r="G6662" s="14">
        <v>76</v>
      </c>
      <c r="H6662" s="13">
        <v>120</v>
      </c>
      <c r="I6662" s="7">
        <f>Tabela1[[#This Row],[Valor total]]-Tabela1[[#This Row],[Valor custo]]</f>
        <v>44</v>
      </c>
      <c r="J6662" s="27">
        <f>Tabela1[[#This Row],[MARGEM BRUTA]]/Tabela1[[#This Row],[Valor total]]</f>
        <v>0.36666666666666664</v>
      </c>
      <c r="K6662" s="26" t="str">
        <f>VLOOKUP(Tabela1[[#This Row],[Cliente]],'BASE DE CLIENTES'!A:D,4,0)</f>
        <v>SERRALHEIRO</v>
      </c>
      <c r="L6662" s="26" t="str">
        <f>VLOOKUP(Tabela1[[#This Row],[Cliente]],'BASE DE CLIENTES'!A:E,5,0)</f>
        <v>SETOR HABITACIONAL VICENTE PIRES</v>
      </c>
    </row>
    <row r="6663" spans="2:12" x14ac:dyDescent="0.3">
      <c r="B6663" t="s">
        <v>775</v>
      </c>
      <c r="C6663" s="26" t="str">
        <f>VLOOKUP(Tabela1[[#This Row],[Cliente]],'BASE DE CLIENTES'!A:E,2,0)</f>
        <v>Brasília</v>
      </c>
      <c r="D6663" s="26" t="str">
        <f>VLOOKUP(Tabela1[[#This Row],[Cliente]],'BASE DE CLIENTES'!A:C,3,0)</f>
        <v>DF</v>
      </c>
      <c r="E6663" s="26" t="str">
        <f>CONCATENATE(Tabela1[[#This Row],[CIDADE]],",",Tabela1[[#This Row],[UF]])</f>
        <v>Brasília,DF</v>
      </c>
      <c r="F6663" s="12">
        <v>46231</v>
      </c>
      <c r="G6663" s="14">
        <v>1578</v>
      </c>
      <c r="H6663" s="13">
        <v>2390</v>
      </c>
      <c r="I6663" s="7">
        <f>Tabela1[[#This Row],[Valor total]]-Tabela1[[#This Row],[Valor custo]]</f>
        <v>812</v>
      </c>
      <c r="J6663" s="27">
        <f>Tabela1[[#This Row],[MARGEM BRUTA]]/Tabela1[[#This Row],[Valor total]]</f>
        <v>0.33974895397489541</v>
      </c>
      <c r="K6663" s="26" t="str">
        <f>VLOOKUP(Tabela1[[#This Row],[Cliente]],'BASE DE CLIENTES'!A:D,4,0)</f>
        <v>CLIENTE NOVO S/ IDENT.</v>
      </c>
      <c r="L6663" s="26" t="str">
        <f>VLOOKUP(Tabela1[[#This Row],[Cliente]],'BASE DE CLIENTES'!A:E,5,0)</f>
        <v>Brasília</v>
      </c>
    </row>
    <row r="6664" spans="2:12" x14ac:dyDescent="0.3">
      <c r="B6664" t="s">
        <v>260</v>
      </c>
      <c r="C6664" s="26" t="str">
        <f>VLOOKUP(Tabela1[[#This Row],[Cliente]],'BASE DE CLIENTES'!A:E,2,0)</f>
        <v>Luziânia</v>
      </c>
      <c r="D6664" s="26" t="str">
        <f>VLOOKUP(Tabela1[[#This Row],[Cliente]],'BASE DE CLIENTES'!A:C,3,0)</f>
        <v>GO</v>
      </c>
      <c r="E6664" s="26" t="str">
        <f>CONCATENATE(Tabela1[[#This Row],[CIDADE]],",",Tabela1[[#This Row],[UF]])</f>
        <v>Luziânia,GO</v>
      </c>
      <c r="F6664" s="12">
        <v>46231</v>
      </c>
      <c r="G6664" s="14">
        <v>45.6</v>
      </c>
      <c r="H6664" s="13">
        <v>150</v>
      </c>
      <c r="I6664" s="7">
        <f>Tabela1[[#This Row],[Valor total]]-Tabela1[[#This Row],[Valor custo]]</f>
        <v>104.4</v>
      </c>
      <c r="J6664" s="27">
        <f>Tabela1[[#This Row],[MARGEM BRUTA]]/Tabela1[[#This Row],[Valor total]]</f>
        <v>0.69600000000000006</v>
      </c>
      <c r="K6664" s="26" t="str">
        <f>VLOOKUP(Tabela1[[#This Row],[Cliente]],'BASE DE CLIENTES'!A:D,4,0)</f>
        <v>SERRALHEIRO</v>
      </c>
      <c r="L6664" s="26" t="str">
        <f>VLOOKUP(Tabela1[[#This Row],[Cliente]],'BASE DE CLIENTES'!A:E,5,0)</f>
        <v>Luziânia</v>
      </c>
    </row>
    <row r="6665" spans="2:12" x14ac:dyDescent="0.3">
      <c r="B6665" t="s">
        <v>1223</v>
      </c>
      <c r="C6665" s="26" t="str">
        <f>VLOOKUP(Tabela1[[#This Row],[Cliente]],'BASE DE CLIENTES'!A:E,2,0)</f>
        <v>MERCADO LIVRE</v>
      </c>
      <c r="D6665" s="26" t="str">
        <f>VLOOKUP(Tabela1[[#This Row],[Cliente]],'BASE DE CLIENTES'!A:C,3,0)</f>
        <v>MERCADO LIVRE</v>
      </c>
      <c r="E6665" s="26" t="str">
        <f>CONCATENATE(Tabela1[[#This Row],[CIDADE]],",",Tabela1[[#This Row],[UF]])</f>
        <v>MERCADO LIVRE,MERCADO LIVRE</v>
      </c>
      <c r="F6665" s="12">
        <v>46231</v>
      </c>
      <c r="G6665" s="14">
        <v>500</v>
      </c>
      <c r="H6665" s="13">
        <v>821.13</v>
      </c>
      <c r="I6665" s="7">
        <f>Tabela1[[#This Row],[Valor total]]-Tabela1[[#This Row],[Valor custo]]</f>
        <v>321.13</v>
      </c>
      <c r="J6665" s="27">
        <f>Tabela1[[#This Row],[MARGEM BRUTA]]/Tabela1[[#This Row],[Valor total]]</f>
        <v>0.3910830197410885</v>
      </c>
      <c r="K6665" s="26" t="str">
        <f>VLOOKUP(Tabela1[[#This Row],[Cliente]],'BASE DE CLIENTES'!A:D,4,0)</f>
        <v>OUTROS RAMOS</v>
      </c>
      <c r="L6665" s="26" t="str">
        <f>VLOOKUP(Tabela1[[#This Row],[Cliente]],'BASE DE CLIENTES'!A:E,5,0)</f>
        <v>MERCADO LIVRE</v>
      </c>
    </row>
    <row r="6666" spans="2:12" x14ac:dyDescent="0.3">
      <c r="B6666" t="s">
        <v>773</v>
      </c>
      <c r="C6666" s="26" t="str">
        <f>VLOOKUP(Tabela1[[#This Row],[Cliente]],'BASE DE CLIENTES'!A:E,2,0)</f>
        <v>Brasília</v>
      </c>
      <c r="D6666" s="26" t="str">
        <f>VLOOKUP(Tabela1[[#This Row],[Cliente]],'BASE DE CLIENTES'!A:C,3,0)</f>
        <v>DF</v>
      </c>
      <c r="E6666" s="26" t="str">
        <f>CONCATENATE(Tabela1[[#This Row],[CIDADE]],",",Tabela1[[#This Row],[UF]])</f>
        <v>Brasília,DF</v>
      </c>
      <c r="F6666" s="12">
        <v>46231</v>
      </c>
      <c r="G6666" s="14">
        <v>419</v>
      </c>
      <c r="H6666" s="13">
        <v>720</v>
      </c>
      <c r="I6666" s="7">
        <f>Tabela1[[#This Row],[Valor total]]-Tabela1[[#This Row],[Valor custo]]</f>
        <v>301</v>
      </c>
      <c r="J6666" s="27">
        <f>Tabela1[[#This Row],[MARGEM BRUTA]]/Tabela1[[#This Row],[Valor total]]</f>
        <v>0.41805555555555557</v>
      </c>
      <c r="K6666" s="26" t="str">
        <f>VLOOKUP(Tabela1[[#This Row],[Cliente]],'BASE DE CLIENTES'!A:D,4,0)</f>
        <v>CLIENTE NOVO S/ IDENT.</v>
      </c>
      <c r="L6666" s="26" t="str">
        <f>VLOOKUP(Tabela1[[#This Row],[Cliente]],'BASE DE CLIENTES'!A:E,5,0)</f>
        <v>Itapoã</v>
      </c>
    </row>
    <row r="6667" spans="2:12" x14ac:dyDescent="0.3">
      <c r="B6667" t="s">
        <v>102</v>
      </c>
      <c r="C6667" s="26" t="str">
        <f>VLOOKUP(Tabela1[[#This Row],[Cliente]],'BASE DE CLIENTES'!A:E,2,0)</f>
        <v>Brasília</v>
      </c>
      <c r="D6667" s="26" t="str">
        <f>VLOOKUP(Tabela1[[#This Row],[Cliente]],'BASE DE CLIENTES'!A:C,3,0)</f>
        <v>DF</v>
      </c>
      <c r="E6667" s="26" t="str">
        <f>CONCATENATE(Tabela1[[#This Row],[CIDADE]],",",Tabela1[[#This Row],[UF]])</f>
        <v>Brasília,DF</v>
      </c>
      <c r="F6667" s="12">
        <v>46231</v>
      </c>
      <c r="G6667" s="14">
        <v>380</v>
      </c>
      <c r="H6667" s="13">
        <v>640</v>
      </c>
      <c r="I6667" s="7">
        <f>Tabela1[[#This Row],[Valor total]]-Tabela1[[#This Row],[Valor custo]]</f>
        <v>260</v>
      </c>
      <c r="J6667" s="27">
        <f>Tabela1[[#This Row],[MARGEM BRUTA]]/Tabela1[[#This Row],[Valor total]]</f>
        <v>0.40625</v>
      </c>
      <c r="K6667" s="26" t="str">
        <f>VLOOKUP(Tabela1[[#This Row],[Cliente]],'BASE DE CLIENTES'!A:D,4,0)</f>
        <v>SERRALHEIRO</v>
      </c>
      <c r="L6667" s="26" t="str">
        <f>VLOOKUP(Tabela1[[#This Row],[Cliente]],'BASE DE CLIENTES'!A:E,5,0)</f>
        <v>Samambaia Norte (Samambaia)</v>
      </c>
    </row>
    <row r="6668" spans="2:12" x14ac:dyDescent="0.3">
      <c r="B6668" t="s">
        <v>120</v>
      </c>
      <c r="C6668" s="26" t="str">
        <f>VLOOKUP(Tabela1[[#This Row],[Cliente]],'BASE DE CLIENTES'!A:E,2,0)</f>
        <v>Brasília</v>
      </c>
      <c r="D6668" s="26" t="str">
        <f>VLOOKUP(Tabela1[[#This Row],[Cliente]],'BASE DE CLIENTES'!A:C,3,0)</f>
        <v>DF</v>
      </c>
      <c r="E6668" s="26" t="str">
        <f>CONCATENATE(Tabela1[[#This Row],[CIDADE]],",",Tabela1[[#This Row],[UF]])</f>
        <v>Brasília,DF</v>
      </c>
      <c r="F6668" s="12">
        <v>46231</v>
      </c>
      <c r="G6668" s="14">
        <v>1508</v>
      </c>
      <c r="H6668" s="13">
        <v>2300</v>
      </c>
      <c r="I6668" s="7">
        <f>Tabela1[[#This Row],[Valor total]]-Tabela1[[#This Row],[Valor custo]]</f>
        <v>792</v>
      </c>
      <c r="J6668" s="27">
        <f>Tabela1[[#This Row],[MARGEM BRUTA]]/Tabela1[[#This Row],[Valor total]]</f>
        <v>0.34434782608695652</v>
      </c>
      <c r="K6668" s="26" t="str">
        <f>VLOOKUP(Tabela1[[#This Row],[Cliente]],'BASE DE CLIENTES'!A:D,4,0)</f>
        <v>EMPRESA SEM MAQUINA</v>
      </c>
      <c r="L6668" s="26" t="str">
        <f>VLOOKUP(Tabela1[[#This Row],[Cliente]],'BASE DE CLIENTES'!A:E,5,0)</f>
        <v>SAMAMBAIA</v>
      </c>
    </row>
    <row r="6669" spans="2:12" x14ac:dyDescent="0.3">
      <c r="B6669" t="s">
        <v>1223</v>
      </c>
      <c r="C6669" s="26" t="str">
        <f>VLOOKUP(Tabela1[[#This Row],[Cliente]],'BASE DE CLIENTES'!A:E,2,0)</f>
        <v>MERCADO LIVRE</v>
      </c>
      <c r="D6669" s="26" t="str">
        <f>VLOOKUP(Tabela1[[#This Row],[Cliente]],'BASE DE CLIENTES'!A:C,3,0)</f>
        <v>MERCADO LIVRE</v>
      </c>
      <c r="E6669" s="26" t="str">
        <f>CONCATENATE(Tabela1[[#This Row],[CIDADE]],",",Tabela1[[#This Row],[UF]])</f>
        <v>MERCADO LIVRE,MERCADO LIVRE</v>
      </c>
      <c r="F6669" s="12">
        <v>46231</v>
      </c>
      <c r="G6669" s="14">
        <v>42</v>
      </c>
      <c r="H6669" s="13">
        <v>37.14</v>
      </c>
      <c r="I6669" s="7">
        <f>Tabela1[[#This Row],[Valor total]]-Tabela1[[#This Row],[Valor custo]]</f>
        <v>-4.8599999999999994</v>
      </c>
      <c r="J6669" s="27">
        <f>Tabela1[[#This Row],[MARGEM BRUTA]]/Tabela1[[#This Row],[Valor total]]</f>
        <v>-0.13085621970920838</v>
      </c>
      <c r="K6669" s="26" t="str">
        <f>VLOOKUP(Tabela1[[#This Row],[Cliente]],'BASE DE CLIENTES'!A:D,4,0)</f>
        <v>OUTROS RAMOS</v>
      </c>
      <c r="L6669" s="26" t="str">
        <f>VLOOKUP(Tabela1[[#This Row],[Cliente]],'BASE DE CLIENTES'!A:E,5,0)</f>
        <v>MERCADO LIVRE</v>
      </c>
    </row>
    <row r="6670" spans="2:12" x14ac:dyDescent="0.3">
      <c r="B6670" t="s">
        <v>1223</v>
      </c>
      <c r="C6670" s="26" t="str">
        <f>VLOOKUP(Tabela1[[#This Row],[Cliente]],'BASE DE CLIENTES'!A:E,2,0)</f>
        <v>MERCADO LIVRE</v>
      </c>
      <c r="D6670" s="26" t="str">
        <f>VLOOKUP(Tabela1[[#This Row],[Cliente]],'BASE DE CLIENTES'!A:C,3,0)</f>
        <v>MERCADO LIVRE</v>
      </c>
      <c r="E6670" s="26" t="str">
        <f>CONCATENATE(Tabela1[[#This Row],[CIDADE]],",",Tabela1[[#This Row],[UF]])</f>
        <v>MERCADO LIVRE,MERCADO LIVRE</v>
      </c>
      <c r="F6670" s="12">
        <v>46231</v>
      </c>
      <c r="G6670" s="14">
        <v>56.28</v>
      </c>
      <c r="H6670" s="13">
        <v>192.88</v>
      </c>
      <c r="I6670" s="7">
        <f>Tabela1[[#This Row],[Valor total]]-Tabela1[[#This Row],[Valor custo]]</f>
        <v>136.6</v>
      </c>
      <c r="J6670" s="27">
        <f>Tabela1[[#This Row],[MARGEM BRUTA]]/Tabela1[[#This Row],[Valor total]]</f>
        <v>0.7082123600165906</v>
      </c>
      <c r="K6670" s="26" t="str">
        <f>VLOOKUP(Tabela1[[#This Row],[Cliente]],'BASE DE CLIENTES'!A:D,4,0)</f>
        <v>OUTROS RAMOS</v>
      </c>
      <c r="L6670" s="26" t="str">
        <f>VLOOKUP(Tabela1[[#This Row],[Cliente]],'BASE DE CLIENTES'!A:E,5,0)</f>
        <v>MERCADO LIVRE</v>
      </c>
    </row>
    <row r="6671" spans="2:12" x14ac:dyDescent="0.3">
      <c r="B6671" t="s">
        <v>1223</v>
      </c>
      <c r="C6671" s="26" t="str">
        <f>VLOOKUP(Tabela1[[#This Row],[Cliente]],'BASE DE CLIENTES'!A:E,2,0)</f>
        <v>MERCADO LIVRE</v>
      </c>
      <c r="D6671" s="26" t="str">
        <f>VLOOKUP(Tabela1[[#This Row],[Cliente]],'BASE DE CLIENTES'!A:C,3,0)</f>
        <v>MERCADO LIVRE</v>
      </c>
      <c r="E6671" s="26" t="str">
        <f>CONCATENATE(Tabela1[[#This Row],[CIDADE]],",",Tabela1[[#This Row],[UF]])</f>
        <v>MERCADO LIVRE,MERCADO LIVRE</v>
      </c>
      <c r="F6671" s="12">
        <v>46231</v>
      </c>
      <c r="G6671" s="14">
        <v>56.28</v>
      </c>
      <c r="H6671" s="13">
        <v>195.05</v>
      </c>
      <c r="I6671" s="7">
        <f>Tabela1[[#This Row],[Valor total]]-Tabela1[[#This Row],[Valor custo]]</f>
        <v>138.77000000000001</v>
      </c>
      <c r="J6671" s="27">
        <f>Tabela1[[#This Row],[MARGEM BRUTA]]/Tabela1[[#This Row],[Valor total]]</f>
        <v>0.71145860035888231</v>
      </c>
      <c r="K6671" s="26" t="str">
        <f>VLOOKUP(Tabela1[[#This Row],[Cliente]],'BASE DE CLIENTES'!A:D,4,0)</f>
        <v>OUTROS RAMOS</v>
      </c>
      <c r="L6671" s="26" t="str">
        <f>VLOOKUP(Tabela1[[#This Row],[Cliente]],'BASE DE CLIENTES'!A:E,5,0)</f>
        <v>MERCADO LIVRE</v>
      </c>
    </row>
    <row r="6672" spans="2:12" x14ac:dyDescent="0.3">
      <c r="B6672" t="s">
        <v>42</v>
      </c>
      <c r="C6672" s="26" t="str">
        <f>VLOOKUP(Tabela1[[#This Row],[Cliente]],'BASE DE CLIENTES'!A:E,2,0)</f>
        <v>Brasília</v>
      </c>
      <c r="D6672" s="26" t="str">
        <f>VLOOKUP(Tabela1[[#This Row],[Cliente]],'BASE DE CLIENTES'!A:C,3,0)</f>
        <v>DF</v>
      </c>
      <c r="E6672" s="26" t="str">
        <f>CONCATENATE(Tabela1[[#This Row],[CIDADE]],",",Tabela1[[#This Row],[UF]])</f>
        <v>Brasília,DF</v>
      </c>
      <c r="F6672" s="12">
        <v>46231</v>
      </c>
      <c r="G6672" s="14">
        <v>463.69</v>
      </c>
      <c r="H6672" s="13">
        <v>750</v>
      </c>
      <c r="I6672" s="7">
        <f>Tabela1[[#This Row],[Valor total]]-Tabela1[[#This Row],[Valor custo]]</f>
        <v>286.31</v>
      </c>
      <c r="J6672" s="27">
        <f>Tabela1[[#This Row],[MARGEM BRUTA]]/Tabela1[[#This Row],[Valor total]]</f>
        <v>0.38174666666666668</v>
      </c>
      <c r="K6672" s="26" t="str">
        <f>VLOOKUP(Tabela1[[#This Row],[Cliente]],'BASE DE CLIENTES'!A:D,4,0)</f>
        <v>EMPRESA SEM MAQUINA</v>
      </c>
      <c r="L6672" s="26" t="str">
        <f>VLOOKUP(Tabela1[[#This Row],[Cliente]],'BASE DE CLIENTES'!A:E,5,0)</f>
        <v>SAMAMBAIA</v>
      </c>
    </row>
    <row r="6673" spans="2:12" x14ac:dyDescent="0.3">
      <c r="B6673" t="s">
        <v>36</v>
      </c>
      <c r="C6673" s="26" t="str">
        <f>VLOOKUP(Tabela1[[#This Row],[Cliente]],'BASE DE CLIENTES'!A:E,2,0)</f>
        <v>Brasília</v>
      </c>
      <c r="D6673" s="26" t="str">
        <f>VLOOKUP(Tabela1[[#This Row],[Cliente]],'BASE DE CLIENTES'!A:C,3,0)</f>
        <v>DF</v>
      </c>
      <c r="E6673" s="26" t="str">
        <f>CONCATENATE(Tabela1[[#This Row],[CIDADE]],",",Tabela1[[#This Row],[UF]])</f>
        <v>Brasília,DF</v>
      </c>
      <c r="F6673" s="12">
        <v>46231</v>
      </c>
      <c r="G6673" s="14">
        <v>25</v>
      </c>
      <c r="H6673" s="13">
        <v>110</v>
      </c>
      <c r="I6673" s="7">
        <f>Tabela1[[#This Row],[Valor total]]-Tabela1[[#This Row],[Valor custo]]</f>
        <v>85</v>
      </c>
      <c r="J6673" s="27">
        <f>Tabela1[[#This Row],[MARGEM BRUTA]]/Tabela1[[#This Row],[Valor total]]</f>
        <v>0.77272727272727271</v>
      </c>
      <c r="K6673" s="26" t="str">
        <f>VLOOKUP(Tabela1[[#This Row],[Cliente]],'BASE DE CLIENTES'!A:D,4,0)</f>
        <v>SERRALHEIRO</v>
      </c>
      <c r="L6673" s="26" t="str">
        <f>VLOOKUP(Tabela1[[#This Row],[Cliente]],'BASE DE CLIENTES'!A:E,5,0)</f>
        <v>CEILANDIA SUL (CEILANDIA)</v>
      </c>
    </row>
    <row r="6674" spans="2:12" x14ac:dyDescent="0.3">
      <c r="B6674" t="s">
        <v>769</v>
      </c>
      <c r="C6674" s="26" t="str">
        <f>VLOOKUP(Tabela1[[#This Row],[Cliente]],'BASE DE CLIENTES'!A:E,2,0)</f>
        <v>Brasília</v>
      </c>
      <c r="D6674" s="26" t="str">
        <f>VLOOKUP(Tabela1[[#This Row],[Cliente]],'BASE DE CLIENTES'!A:C,3,0)</f>
        <v>DF</v>
      </c>
      <c r="E6674" s="26" t="str">
        <f>CONCATENATE(Tabela1[[#This Row],[CIDADE]],",",Tabela1[[#This Row],[UF]])</f>
        <v>Brasília,DF</v>
      </c>
      <c r="F6674" s="12">
        <v>46231</v>
      </c>
      <c r="G6674" s="14">
        <v>1296</v>
      </c>
      <c r="H6674" s="13">
        <v>2350</v>
      </c>
      <c r="I6674" s="7">
        <f>Tabela1[[#This Row],[Valor total]]-Tabela1[[#This Row],[Valor custo]]</f>
        <v>1054</v>
      </c>
      <c r="J6674" s="27">
        <f>Tabela1[[#This Row],[MARGEM BRUTA]]/Tabela1[[#This Row],[Valor total]]</f>
        <v>0.44851063829787235</v>
      </c>
      <c r="K6674" s="26" t="str">
        <f>VLOOKUP(Tabela1[[#This Row],[Cliente]],'BASE DE CLIENTES'!A:D,4,0)</f>
        <v>CLIENTE NOVO S/ IDENT.</v>
      </c>
      <c r="L6674" s="26" t="str">
        <f>VLOOKUP(Tabela1[[#This Row],[Cliente]],'BASE DE CLIENTES'!A:E,5,0)</f>
        <v>Taguatinga Sul (Taguatinga)</v>
      </c>
    </row>
    <row r="6675" spans="2:12" x14ac:dyDescent="0.3">
      <c r="B6675" t="s">
        <v>1223</v>
      </c>
      <c r="C6675" s="26" t="str">
        <f>VLOOKUP(Tabela1[[#This Row],[Cliente]],'BASE DE CLIENTES'!A:E,2,0)</f>
        <v>MERCADO LIVRE</v>
      </c>
      <c r="D6675" s="26" t="str">
        <f>VLOOKUP(Tabela1[[#This Row],[Cliente]],'BASE DE CLIENTES'!A:C,3,0)</f>
        <v>MERCADO LIVRE</v>
      </c>
      <c r="E6675" s="26" t="str">
        <f>CONCATENATE(Tabela1[[#This Row],[CIDADE]],",",Tabela1[[#This Row],[UF]])</f>
        <v>MERCADO LIVRE,MERCADO LIVRE</v>
      </c>
      <c r="F6675" s="12">
        <v>46231</v>
      </c>
      <c r="G6675" s="14">
        <v>56.28</v>
      </c>
      <c r="H6675" s="13">
        <v>195.05</v>
      </c>
      <c r="I6675" s="7">
        <f>Tabela1[[#This Row],[Valor total]]-Tabela1[[#This Row],[Valor custo]]</f>
        <v>138.77000000000001</v>
      </c>
      <c r="J6675" s="27">
        <f>Tabela1[[#This Row],[MARGEM BRUTA]]/Tabela1[[#This Row],[Valor total]]</f>
        <v>0.71145860035888231</v>
      </c>
      <c r="K6675" s="26" t="str">
        <f>VLOOKUP(Tabela1[[#This Row],[Cliente]],'BASE DE CLIENTES'!A:D,4,0)</f>
        <v>OUTROS RAMOS</v>
      </c>
      <c r="L6675" s="26" t="str">
        <f>VLOOKUP(Tabela1[[#This Row],[Cliente]],'BASE DE CLIENTES'!A:E,5,0)</f>
        <v>MERCADO LIVRE</v>
      </c>
    </row>
    <row r="6676" spans="2:12" x14ac:dyDescent="0.3">
      <c r="B6676" t="s">
        <v>1200</v>
      </c>
      <c r="C6676" s="26" t="str">
        <f>VLOOKUP(Tabela1[[#This Row],[Cliente]],'BASE DE CLIENTES'!A:E,2,0)</f>
        <v>Maracanaú</v>
      </c>
      <c r="D6676" s="26" t="str">
        <f>VLOOKUP(Tabela1[[#This Row],[Cliente]],'BASE DE CLIENTES'!A:C,3,0)</f>
        <v>CE</v>
      </c>
      <c r="E6676" s="26" t="str">
        <f>CONCATENATE(Tabela1[[#This Row],[CIDADE]],",",Tabela1[[#This Row],[UF]])</f>
        <v>Maracanaú,CE</v>
      </c>
      <c r="F6676" s="12">
        <v>46231</v>
      </c>
      <c r="G6676" s="14">
        <v>0</v>
      </c>
      <c r="H6676" s="13">
        <v>1439</v>
      </c>
      <c r="I6676" s="7">
        <f>Tabela1[[#This Row],[Valor total]]-Tabela1[[#This Row],[Valor custo]]</f>
        <v>1439</v>
      </c>
      <c r="J6676" s="27">
        <f>Tabela1[[#This Row],[MARGEM BRUTA]]/Tabela1[[#This Row],[Valor total]]</f>
        <v>1</v>
      </c>
      <c r="K6676" s="26" t="str">
        <f>VLOOKUP(Tabela1[[#This Row],[Cliente]],'BASE DE CLIENTES'!A:D,4,0)</f>
        <v>CLIENTE NOVO S/ IDENT.</v>
      </c>
      <c r="L6676" s="26" t="str">
        <f>VLOOKUP(Tabela1[[#This Row],[Cliente]],'BASE DE CLIENTES'!A:E,5,0)</f>
        <v>Maracanaú</v>
      </c>
    </row>
    <row r="6677" spans="2:12" x14ac:dyDescent="0.3">
      <c r="B6677" t="s">
        <v>343</v>
      </c>
      <c r="C6677" s="26" t="str">
        <f>VLOOKUP(Tabela1[[#This Row],[Cliente]],'BASE DE CLIENTES'!A:E,2,0)</f>
        <v>Brasília</v>
      </c>
      <c r="D6677" s="26" t="str">
        <f>VLOOKUP(Tabela1[[#This Row],[Cliente]],'BASE DE CLIENTES'!A:C,3,0)</f>
        <v>DF</v>
      </c>
      <c r="E6677" s="26" t="str">
        <f>CONCATENATE(Tabela1[[#This Row],[CIDADE]],",",Tabela1[[#This Row],[UF]])</f>
        <v>Brasília,DF</v>
      </c>
      <c r="F6677" s="12">
        <v>46231</v>
      </c>
      <c r="G6677" s="14">
        <v>42</v>
      </c>
      <c r="H6677" s="13">
        <v>70</v>
      </c>
      <c r="I6677" s="7">
        <f>Tabela1[[#This Row],[Valor total]]-Tabela1[[#This Row],[Valor custo]]</f>
        <v>28</v>
      </c>
      <c r="J6677" s="27">
        <f>Tabela1[[#This Row],[MARGEM BRUTA]]/Tabela1[[#This Row],[Valor total]]</f>
        <v>0.4</v>
      </c>
      <c r="K6677" s="26" t="str">
        <f>VLOOKUP(Tabela1[[#This Row],[Cliente]],'BASE DE CLIENTES'!A:D,4,0)</f>
        <v>CLIENTE NOVO S/ IDENT.</v>
      </c>
      <c r="L6677" s="26" t="str">
        <f>VLOOKUP(Tabela1[[#This Row],[Cliente]],'BASE DE CLIENTES'!A:E,5,0)</f>
        <v>Brasília</v>
      </c>
    </row>
    <row r="6678" spans="2:12" x14ac:dyDescent="0.3">
      <c r="B6678" t="s">
        <v>1223</v>
      </c>
      <c r="C6678" s="26" t="str">
        <f>VLOOKUP(Tabela1[[#This Row],[Cliente]],'BASE DE CLIENTES'!A:E,2,0)</f>
        <v>MERCADO LIVRE</v>
      </c>
      <c r="D6678" s="26" t="str">
        <f>VLOOKUP(Tabela1[[#This Row],[Cliente]],'BASE DE CLIENTES'!A:C,3,0)</f>
        <v>MERCADO LIVRE</v>
      </c>
      <c r="E6678" s="26" t="str">
        <f>CONCATENATE(Tabela1[[#This Row],[CIDADE]],",",Tabela1[[#This Row],[UF]])</f>
        <v>MERCADO LIVRE,MERCADO LIVRE</v>
      </c>
      <c r="F6678" s="12">
        <v>46231</v>
      </c>
      <c r="G6678" s="14">
        <v>500</v>
      </c>
      <c r="H6678" s="13">
        <v>759.63</v>
      </c>
      <c r="I6678" s="7">
        <f>Tabela1[[#This Row],[Valor total]]-Tabela1[[#This Row],[Valor custo]]</f>
        <v>259.63</v>
      </c>
      <c r="J6678" s="27">
        <f>Tabela1[[#This Row],[MARGEM BRUTA]]/Tabela1[[#This Row],[Valor total]]</f>
        <v>0.34178481629214225</v>
      </c>
      <c r="K6678" s="26" t="str">
        <f>VLOOKUP(Tabela1[[#This Row],[Cliente]],'BASE DE CLIENTES'!A:D,4,0)</f>
        <v>OUTROS RAMOS</v>
      </c>
      <c r="L6678" s="26" t="str">
        <f>VLOOKUP(Tabela1[[#This Row],[Cliente]],'BASE DE CLIENTES'!A:E,5,0)</f>
        <v>MERCADO LIVRE</v>
      </c>
    </row>
    <row r="6679" spans="2:12" x14ac:dyDescent="0.3">
      <c r="B6679" t="s">
        <v>117</v>
      </c>
      <c r="C6679" s="26" t="str">
        <f>VLOOKUP(Tabela1[[#This Row],[Cliente]],'BASE DE CLIENTES'!A:E,2,0)</f>
        <v>Brasília</v>
      </c>
      <c r="D6679" s="26" t="str">
        <f>VLOOKUP(Tabela1[[#This Row],[Cliente]],'BASE DE CLIENTES'!A:C,3,0)</f>
        <v>DF</v>
      </c>
      <c r="E6679" s="26" t="str">
        <f>CONCATENATE(Tabela1[[#This Row],[CIDADE]],",",Tabela1[[#This Row],[UF]])</f>
        <v>Brasília,DF</v>
      </c>
      <c r="F6679" s="12">
        <v>46231</v>
      </c>
      <c r="G6679" s="14">
        <v>845</v>
      </c>
      <c r="H6679" s="13">
        <v>1575</v>
      </c>
      <c r="I6679" s="7">
        <f>Tabela1[[#This Row],[Valor total]]-Tabela1[[#This Row],[Valor custo]]</f>
        <v>730</v>
      </c>
      <c r="J6679" s="27">
        <f>Tabela1[[#This Row],[MARGEM BRUTA]]/Tabela1[[#This Row],[Valor total]]</f>
        <v>0.46349206349206351</v>
      </c>
      <c r="K6679" s="26" t="str">
        <f>VLOOKUP(Tabela1[[#This Row],[Cliente]],'BASE DE CLIENTES'!A:D,4,0)</f>
        <v>EMPRESA COM MAQUINA</v>
      </c>
      <c r="L6679" s="26" t="str">
        <f>VLOOKUP(Tabela1[[#This Row],[Cliente]],'BASE DE CLIENTES'!A:E,5,0)</f>
        <v>SETOR HABITACIONAL ARNIQUEIRA (AGUAS CLARAS)</v>
      </c>
    </row>
    <row r="6680" spans="2:12" x14ac:dyDescent="0.3">
      <c r="B6680" t="s">
        <v>1223</v>
      </c>
      <c r="C6680" s="26" t="str">
        <f>VLOOKUP(Tabela1[[#This Row],[Cliente]],'BASE DE CLIENTES'!A:E,2,0)</f>
        <v>MERCADO LIVRE</v>
      </c>
      <c r="D6680" s="26" t="str">
        <f>VLOOKUP(Tabela1[[#This Row],[Cliente]],'BASE DE CLIENTES'!A:C,3,0)</f>
        <v>MERCADO LIVRE</v>
      </c>
      <c r="E6680" s="26" t="str">
        <f>CONCATENATE(Tabela1[[#This Row],[CIDADE]],",",Tabela1[[#This Row],[UF]])</f>
        <v>MERCADO LIVRE,MERCADO LIVRE</v>
      </c>
      <c r="F6680" s="12">
        <v>46231</v>
      </c>
      <c r="G6680" s="14">
        <v>42</v>
      </c>
      <c r="H6680" s="13">
        <v>37.14</v>
      </c>
      <c r="I6680" s="7">
        <f>Tabela1[[#This Row],[Valor total]]-Tabela1[[#This Row],[Valor custo]]</f>
        <v>-4.8599999999999994</v>
      </c>
      <c r="J6680" s="27">
        <f>Tabela1[[#This Row],[MARGEM BRUTA]]/Tabela1[[#This Row],[Valor total]]</f>
        <v>-0.13085621970920838</v>
      </c>
      <c r="K6680" s="26" t="str">
        <f>VLOOKUP(Tabela1[[#This Row],[Cliente]],'BASE DE CLIENTES'!A:D,4,0)</f>
        <v>OUTROS RAMOS</v>
      </c>
      <c r="L6680" s="26" t="str">
        <f>VLOOKUP(Tabela1[[#This Row],[Cliente]],'BASE DE CLIENTES'!A:E,5,0)</f>
        <v>MERCADO LIVRE</v>
      </c>
    </row>
    <row r="6681" spans="2:12" x14ac:dyDescent="0.3">
      <c r="B6681" t="s">
        <v>110</v>
      </c>
      <c r="C6681" s="26" t="str">
        <f>VLOOKUP(Tabela1[[#This Row],[Cliente]],'BASE DE CLIENTES'!A:E,2,0)</f>
        <v>Brasília</v>
      </c>
      <c r="D6681" s="26" t="str">
        <f>VLOOKUP(Tabela1[[#This Row],[Cliente]],'BASE DE CLIENTES'!A:C,3,0)</f>
        <v>DF</v>
      </c>
      <c r="E6681" s="26" t="str">
        <f>CONCATENATE(Tabela1[[#This Row],[CIDADE]],",",Tabela1[[#This Row],[UF]])</f>
        <v>Brasília,DF</v>
      </c>
      <c r="F6681" s="12">
        <v>46231</v>
      </c>
      <c r="G6681" s="14">
        <v>119.68</v>
      </c>
      <c r="H6681" s="13">
        <v>300</v>
      </c>
      <c r="I6681" s="7">
        <f>Tabela1[[#This Row],[Valor total]]-Tabela1[[#This Row],[Valor custo]]</f>
        <v>180.32</v>
      </c>
      <c r="J6681" s="27">
        <f>Tabela1[[#This Row],[MARGEM BRUTA]]/Tabela1[[#This Row],[Valor total]]</f>
        <v>0.60106666666666664</v>
      </c>
      <c r="K6681" s="26" t="str">
        <f>VLOOKUP(Tabela1[[#This Row],[Cliente]],'BASE DE CLIENTES'!A:D,4,0)</f>
        <v>SERRALHEIRO</v>
      </c>
      <c r="L6681" s="26" t="str">
        <f>VLOOKUP(Tabela1[[#This Row],[Cliente]],'BASE DE CLIENTES'!A:E,5,0)</f>
        <v>Taguatinga sul</v>
      </c>
    </row>
    <row r="6682" spans="2:12" x14ac:dyDescent="0.3">
      <c r="B6682" t="s">
        <v>55</v>
      </c>
      <c r="C6682" s="26" t="str">
        <f>VLOOKUP(Tabela1[[#This Row],[Cliente]],'BASE DE CLIENTES'!A:E,2,0)</f>
        <v>Brasília</v>
      </c>
      <c r="D6682" s="26" t="str">
        <f>VLOOKUP(Tabela1[[#This Row],[Cliente]],'BASE DE CLIENTES'!A:C,3,0)</f>
        <v>DF</v>
      </c>
      <c r="E6682" s="26" t="str">
        <f>CONCATENATE(Tabela1[[#This Row],[CIDADE]],",",Tabela1[[#This Row],[UF]])</f>
        <v>Brasília,DF</v>
      </c>
      <c r="F6682" s="12">
        <v>46231</v>
      </c>
      <c r="G6682" s="14">
        <v>152</v>
      </c>
      <c r="H6682" s="13">
        <v>240</v>
      </c>
      <c r="I6682" s="7">
        <f>Tabela1[[#This Row],[Valor total]]-Tabela1[[#This Row],[Valor custo]]</f>
        <v>88</v>
      </c>
      <c r="J6682" s="27">
        <f>Tabela1[[#This Row],[MARGEM BRUTA]]/Tabela1[[#This Row],[Valor total]]</f>
        <v>0.36666666666666664</v>
      </c>
      <c r="K6682" s="26" t="str">
        <f>VLOOKUP(Tabela1[[#This Row],[Cliente]],'BASE DE CLIENTES'!A:D,4,0)</f>
        <v>EMPRESA SEM MAQUINA</v>
      </c>
      <c r="L6682" s="26" t="str">
        <f>VLOOKUP(Tabela1[[#This Row],[Cliente]],'BASE DE CLIENTES'!A:E,5,0)</f>
        <v>RECANTO DAS EMAS</v>
      </c>
    </row>
    <row r="6683" spans="2:12" x14ac:dyDescent="0.3">
      <c r="B6683" t="s">
        <v>66</v>
      </c>
      <c r="C6683" s="26" t="str">
        <f>VLOOKUP(Tabela1[[#This Row],[Cliente]],'BASE DE CLIENTES'!A:E,2,0)</f>
        <v>Águas Lindas de Goiás</v>
      </c>
      <c r="D6683" s="26" t="str">
        <f>VLOOKUP(Tabela1[[#This Row],[Cliente]],'BASE DE CLIENTES'!A:C,3,0)</f>
        <v>GO</v>
      </c>
      <c r="E6683" s="26" t="str">
        <f>CONCATENATE(Tabela1[[#This Row],[CIDADE]],",",Tabela1[[#This Row],[UF]])</f>
        <v>Águas Lindas de Goiás,GO</v>
      </c>
      <c r="F6683" s="12">
        <v>46231</v>
      </c>
      <c r="G6683" s="14">
        <v>1216</v>
      </c>
      <c r="H6683" s="13">
        <v>1890</v>
      </c>
      <c r="I6683" s="7">
        <f>Tabela1[[#This Row],[Valor total]]-Tabela1[[#This Row],[Valor custo]]</f>
        <v>674</v>
      </c>
      <c r="J6683" s="27">
        <f>Tabela1[[#This Row],[MARGEM BRUTA]]/Tabela1[[#This Row],[Valor total]]</f>
        <v>0.35661375661375661</v>
      </c>
      <c r="K6683" s="26" t="str">
        <f>VLOOKUP(Tabela1[[#This Row],[Cliente]],'BASE DE CLIENTES'!A:D,4,0)</f>
        <v>EMPRESA COM MAQUINA</v>
      </c>
      <c r="L6683" s="26" t="str">
        <f>VLOOKUP(Tabela1[[#This Row],[Cliente]],'BASE DE CLIENTES'!A:E,5,0)</f>
        <v>Águas Lindas de Goiás</v>
      </c>
    </row>
    <row r="6684" spans="2:12" x14ac:dyDescent="0.3">
      <c r="B6684" t="s">
        <v>92</v>
      </c>
      <c r="C6684" s="26" t="str">
        <f>VLOOKUP(Tabela1[[#This Row],[Cliente]],'BASE DE CLIENTES'!A:E,2,0)</f>
        <v>Brasília</v>
      </c>
      <c r="D6684" s="26" t="str">
        <f>VLOOKUP(Tabela1[[#This Row],[Cliente]],'BASE DE CLIENTES'!A:C,3,0)</f>
        <v>DF</v>
      </c>
      <c r="E6684" s="26" t="str">
        <f>CONCATENATE(Tabela1[[#This Row],[CIDADE]],",",Tabela1[[#This Row],[UF]])</f>
        <v>Brasília,DF</v>
      </c>
      <c r="F6684" s="12">
        <v>46231</v>
      </c>
      <c r="G6684" s="14">
        <v>838</v>
      </c>
      <c r="H6684" s="13">
        <v>1300</v>
      </c>
      <c r="I6684" s="7">
        <f>Tabela1[[#This Row],[Valor total]]-Tabela1[[#This Row],[Valor custo]]</f>
        <v>462</v>
      </c>
      <c r="J6684" s="27">
        <f>Tabela1[[#This Row],[MARGEM BRUTA]]/Tabela1[[#This Row],[Valor total]]</f>
        <v>0.35538461538461541</v>
      </c>
      <c r="K6684" s="26" t="str">
        <f>VLOOKUP(Tabela1[[#This Row],[Cliente]],'BASE DE CLIENTES'!A:D,4,0)</f>
        <v>EMPRESA SEM MAQUINA</v>
      </c>
      <c r="L6684" s="26" t="str">
        <f>VLOOKUP(Tabela1[[#This Row],[Cliente]],'BASE DE CLIENTES'!A:E,5,0)</f>
        <v>SOBRADINHO</v>
      </c>
    </row>
    <row r="6685" spans="2:12" x14ac:dyDescent="0.3">
      <c r="B6685" t="s">
        <v>343</v>
      </c>
      <c r="C6685" s="26" t="str">
        <f>VLOOKUP(Tabela1[[#This Row],[Cliente]],'BASE DE CLIENTES'!A:E,2,0)</f>
        <v>Brasília</v>
      </c>
      <c r="D6685" s="26" t="str">
        <f>VLOOKUP(Tabela1[[#This Row],[Cliente]],'BASE DE CLIENTES'!A:C,3,0)</f>
        <v>DF</v>
      </c>
      <c r="E6685" s="26" t="str">
        <f>CONCATENATE(Tabela1[[#This Row],[CIDADE]],",",Tabela1[[#This Row],[UF]])</f>
        <v>Brasília,DF</v>
      </c>
      <c r="F6685" s="12">
        <v>46231</v>
      </c>
      <c r="G6685" s="14">
        <v>680</v>
      </c>
      <c r="H6685" s="13">
        <v>1400</v>
      </c>
      <c r="I6685" s="7">
        <f>Tabela1[[#This Row],[Valor total]]-Tabela1[[#This Row],[Valor custo]]</f>
        <v>720</v>
      </c>
      <c r="J6685" s="27">
        <f>Tabela1[[#This Row],[MARGEM BRUTA]]/Tabela1[[#This Row],[Valor total]]</f>
        <v>0.51428571428571423</v>
      </c>
      <c r="K6685" s="26" t="str">
        <f>VLOOKUP(Tabela1[[#This Row],[Cliente]],'BASE DE CLIENTES'!A:D,4,0)</f>
        <v>CLIENTE NOVO S/ IDENT.</v>
      </c>
      <c r="L6685" s="26" t="str">
        <f>VLOOKUP(Tabela1[[#This Row],[Cliente]],'BASE DE CLIENTES'!A:E,5,0)</f>
        <v>Brasília</v>
      </c>
    </row>
    <row r="6686" spans="2:12" x14ac:dyDescent="0.3">
      <c r="B6686" t="s">
        <v>1136</v>
      </c>
      <c r="C6686" s="26" t="str">
        <f>VLOOKUP(Tabela1[[#This Row],[Cliente]],'BASE DE CLIENTES'!A:E,2,0)</f>
        <v>Brasília</v>
      </c>
      <c r="D6686" s="26" t="str">
        <f>VLOOKUP(Tabela1[[#This Row],[Cliente]],'BASE DE CLIENTES'!A:C,3,0)</f>
        <v>DF</v>
      </c>
      <c r="E6686" s="26" t="str">
        <f>CONCATENATE(Tabela1[[#This Row],[CIDADE]],",",Tabela1[[#This Row],[UF]])</f>
        <v>Brasília,DF</v>
      </c>
      <c r="F6686" s="12">
        <v>46231</v>
      </c>
      <c r="G6686" s="14">
        <v>4011</v>
      </c>
      <c r="H6686" s="13">
        <v>5800</v>
      </c>
      <c r="I6686" s="7">
        <f>Tabela1[[#This Row],[Valor total]]-Tabela1[[#This Row],[Valor custo]]</f>
        <v>1789</v>
      </c>
      <c r="J6686" s="27">
        <f>Tabela1[[#This Row],[MARGEM BRUTA]]/Tabela1[[#This Row],[Valor total]]</f>
        <v>0.30844827586206897</v>
      </c>
      <c r="K6686" s="26" t="str">
        <f>VLOOKUP(Tabela1[[#This Row],[Cliente]],'BASE DE CLIENTES'!A:D,4,0)</f>
        <v>CLIENTE NOVO S/ IDENT.</v>
      </c>
      <c r="L6686" s="26" t="str">
        <f>VLOOKUP(Tabela1[[#This Row],[Cliente]],'BASE DE CLIENTES'!A:E,5,0)</f>
        <v>Ceilândia</v>
      </c>
    </row>
    <row r="6687" spans="2:12" x14ac:dyDescent="0.3">
      <c r="B6687" t="s">
        <v>253</v>
      </c>
      <c r="C6687" s="26" t="str">
        <f>VLOOKUP(Tabela1[[#This Row],[Cliente]],'BASE DE CLIENTES'!A:E,2,0)</f>
        <v>Luziânia</v>
      </c>
      <c r="D6687" s="26" t="str">
        <f>VLOOKUP(Tabela1[[#This Row],[Cliente]],'BASE DE CLIENTES'!A:C,3,0)</f>
        <v>GO</v>
      </c>
      <c r="E6687" s="26" t="str">
        <f>CONCATENATE(Tabela1[[#This Row],[CIDADE]],",",Tabela1[[#This Row],[UF]])</f>
        <v>Luziânia,GO</v>
      </c>
      <c r="F6687" s="12">
        <v>46231</v>
      </c>
      <c r="G6687" s="14">
        <v>4569.6099999999997</v>
      </c>
      <c r="H6687" s="13">
        <v>7156</v>
      </c>
      <c r="I6687" s="7">
        <f>Tabela1[[#This Row],[Valor total]]-Tabela1[[#This Row],[Valor custo]]</f>
        <v>2586.3900000000003</v>
      </c>
      <c r="J6687" s="27">
        <f>Tabela1[[#This Row],[MARGEM BRUTA]]/Tabela1[[#This Row],[Valor total]]</f>
        <v>0.36142956959195088</v>
      </c>
      <c r="K6687" s="26" t="str">
        <f>VLOOKUP(Tabela1[[#This Row],[Cliente]],'BASE DE CLIENTES'!A:D,4,0)</f>
        <v>EMPRESA COM MAQUINA</v>
      </c>
      <c r="L6687" s="26" t="str">
        <f>VLOOKUP(Tabela1[[#This Row],[Cliente]],'BASE DE CLIENTES'!A:E,5,0)</f>
        <v>Luziânia</v>
      </c>
    </row>
    <row r="6688" spans="2:12" x14ac:dyDescent="0.3">
      <c r="B6688" t="s">
        <v>1141</v>
      </c>
      <c r="C6688" s="26" t="str">
        <f>VLOOKUP(Tabela1[[#This Row],[Cliente]],'BASE DE CLIENTES'!A:E,2,0)</f>
        <v>Aparecida de Goiânia</v>
      </c>
      <c r="D6688" s="26" t="str">
        <f>VLOOKUP(Tabela1[[#This Row],[Cliente]],'BASE DE CLIENTES'!A:C,3,0)</f>
        <v>GO</v>
      </c>
      <c r="E6688" s="26" t="str">
        <f>CONCATENATE(Tabela1[[#This Row],[CIDADE]],",",Tabela1[[#This Row],[UF]])</f>
        <v>Aparecida de Goiânia,GO</v>
      </c>
      <c r="F6688" s="12">
        <v>46231</v>
      </c>
      <c r="G6688" s="14">
        <v>5130</v>
      </c>
      <c r="H6688" s="13">
        <v>8680</v>
      </c>
      <c r="I6688" s="7">
        <f>Tabela1[[#This Row],[Valor total]]-Tabela1[[#This Row],[Valor custo]]</f>
        <v>3550</v>
      </c>
      <c r="J6688" s="27">
        <f>Tabela1[[#This Row],[MARGEM BRUTA]]/Tabela1[[#This Row],[Valor total]]</f>
        <v>0.40898617511520735</v>
      </c>
      <c r="K6688" s="26" t="str">
        <f>VLOOKUP(Tabela1[[#This Row],[Cliente]],'BASE DE CLIENTES'!A:D,4,0)</f>
        <v>CLIENTE NOVO S/ IDENT.</v>
      </c>
      <c r="L6688" s="26" t="str">
        <f>VLOOKUP(Tabela1[[#This Row],[Cliente]],'BASE DE CLIENTES'!A:E,5,0)</f>
        <v>Aparecida de Goiânia</v>
      </c>
    </row>
    <row r="6689" spans="2:12" x14ac:dyDescent="0.3">
      <c r="B6689" t="s">
        <v>23</v>
      </c>
      <c r="C6689" s="26" t="str">
        <f>VLOOKUP(Tabela1[[#This Row],[Cliente]],'BASE DE CLIENTES'!A:E,2,0)</f>
        <v>Brasília</v>
      </c>
      <c r="D6689" s="26" t="str">
        <f>VLOOKUP(Tabela1[[#This Row],[Cliente]],'BASE DE CLIENTES'!A:C,3,0)</f>
        <v>DF</v>
      </c>
      <c r="E6689" s="26" t="str">
        <f>CONCATENATE(Tabela1[[#This Row],[CIDADE]],",",Tabela1[[#This Row],[UF]])</f>
        <v>Brasília,DF</v>
      </c>
      <c r="F6689" s="12">
        <v>46231</v>
      </c>
      <c r="G6689" s="14">
        <v>146.28</v>
      </c>
      <c r="H6689" s="13">
        <v>150</v>
      </c>
      <c r="I6689" s="7">
        <f>Tabela1[[#This Row],[Valor total]]-Tabela1[[#This Row],[Valor custo]]</f>
        <v>3.7199999999999989</v>
      </c>
      <c r="J6689" s="27">
        <f>Tabela1[[#This Row],[MARGEM BRUTA]]/Tabela1[[#This Row],[Valor total]]</f>
        <v>2.4799999999999992E-2</v>
      </c>
      <c r="K6689" s="26" t="str">
        <f>VLOOKUP(Tabela1[[#This Row],[Cliente]],'BASE DE CLIENTES'!A:D,4,0)</f>
        <v>EMPRESA SEM MAQUINA</v>
      </c>
      <c r="L6689" s="26" t="str">
        <f>VLOOKUP(Tabela1[[#This Row],[Cliente]],'BASE DE CLIENTES'!A:E,5,0)</f>
        <v>SETOR INDUSTRIAL (TAGUATINGA)</v>
      </c>
    </row>
    <row r="6690" spans="2:12" x14ac:dyDescent="0.3">
      <c r="B6690" t="s">
        <v>23</v>
      </c>
      <c r="C6690" s="26" t="str">
        <f>VLOOKUP(Tabela1[[#This Row],[Cliente]],'BASE DE CLIENTES'!A:E,2,0)</f>
        <v>Brasília</v>
      </c>
      <c r="D6690" s="26" t="str">
        <f>VLOOKUP(Tabela1[[#This Row],[Cliente]],'BASE DE CLIENTES'!A:C,3,0)</f>
        <v>DF</v>
      </c>
      <c r="E6690" s="26" t="str">
        <f>CONCATENATE(Tabela1[[#This Row],[CIDADE]],",",Tabela1[[#This Row],[UF]])</f>
        <v>Brasília,DF</v>
      </c>
      <c r="F6690" s="12">
        <v>46231</v>
      </c>
      <c r="G6690" s="14">
        <v>760</v>
      </c>
      <c r="H6690" s="13">
        <v>1100</v>
      </c>
      <c r="I6690" s="7">
        <f>Tabela1[[#This Row],[Valor total]]-Tabela1[[#This Row],[Valor custo]]</f>
        <v>340</v>
      </c>
      <c r="J6690" s="27">
        <f>Tabela1[[#This Row],[MARGEM BRUTA]]/Tabela1[[#This Row],[Valor total]]</f>
        <v>0.30909090909090908</v>
      </c>
      <c r="K6690" s="26" t="str">
        <f>VLOOKUP(Tabela1[[#This Row],[Cliente]],'BASE DE CLIENTES'!A:D,4,0)</f>
        <v>EMPRESA SEM MAQUINA</v>
      </c>
      <c r="L6690" s="26" t="str">
        <f>VLOOKUP(Tabela1[[#This Row],[Cliente]],'BASE DE CLIENTES'!A:E,5,0)</f>
        <v>SETOR INDUSTRIAL (TAGUATINGA)</v>
      </c>
    </row>
    <row r="6691" spans="2:12" x14ac:dyDescent="0.3">
      <c r="B6691" t="s">
        <v>68</v>
      </c>
      <c r="C6691" s="26" t="str">
        <f>VLOOKUP(Tabela1[[#This Row],[Cliente]],'BASE DE CLIENTES'!A:E,2,0)</f>
        <v>Brasília</v>
      </c>
      <c r="D6691" s="26" t="str">
        <f>VLOOKUP(Tabela1[[#This Row],[Cliente]],'BASE DE CLIENTES'!A:C,3,0)</f>
        <v>DF</v>
      </c>
      <c r="E6691" s="26" t="str">
        <f>CONCATENATE(Tabela1[[#This Row],[CIDADE]],",",Tabela1[[#This Row],[UF]])</f>
        <v>Brasília,DF</v>
      </c>
      <c r="F6691" s="12">
        <v>46231</v>
      </c>
      <c r="G6691" s="14">
        <v>453.14</v>
      </c>
      <c r="H6691" s="13">
        <v>650</v>
      </c>
      <c r="I6691" s="7">
        <f>Tabela1[[#This Row],[Valor total]]-Tabela1[[#This Row],[Valor custo]]</f>
        <v>196.86</v>
      </c>
      <c r="J6691" s="27">
        <f>Tabela1[[#This Row],[MARGEM BRUTA]]/Tabela1[[#This Row],[Valor total]]</f>
        <v>0.30286153846153846</v>
      </c>
      <c r="K6691" s="26" t="str">
        <f>VLOOKUP(Tabela1[[#This Row],[Cliente]],'BASE DE CLIENTES'!A:D,4,0)</f>
        <v>EMPRESA COM MAQUINA</v>
      </c>
      <c r="L6691" s="26" t="str">
        <f>VLOOKUP(Tabela1[[#This Row],[Cliente]],'BASE DE CLIENTES'!A:E,5,0)</f>
        <v>SAMAMBAIA SUL (SAMAMBAIA)</v>
      </c>
    </row>
    <row r="6692" spans="2:12" x14ac:dyDescent="0.3">
      <c r="B6692" t="s">
        <v>145</v>
      </c>
      <c r="C6692" s="26" t="str">
        <f>VLOOKUP(Tabela1[[#This Row],[Cliente]],'BASE DE CLIENTES'!A:E,2,0)</f>
        <v>Ananindeua</v>
      </c>
      <c r="D6692" s="26" t="str">
        <f>VLOOKUP(Tabela1[[#This Row],[Cliente]],'BASE DE CLIENTES'!A:C,3,0)</f>
        <v>PA</v>
      </c>
      <c r="E6692" s="26" t="str">
        <f>CONCATENATE(Tabela1[[#This Row],[CIDADE]],",",Tabela1[[#This Row],[UF]])</f>
        <v>Ananindeua,PA</v>
      </c>
      <c r="F6692" s="12">
        <v>46231</v>
      </c>
      <c r="G6692" s="14">
        <v>3329.55</v>
      </c>
      <c r="H6692" s="13">
        <v>5030</v>
      </c>
      <c r="I6692" s="7">
        <f>Tabela1[[#This Row],[Valor total]]-Tabela1[[#This Row],[Valor custo]]</f>
        <v>1700.4499999999998</v>
      </c>
      <c r="J6692" s="27">
        <f>Tabela1[[#This Row],[MARGEM BRUTA]]/Tabela1[[#This Row],[Valor total]]</f>
        <v>0.33806163021868785</v>
      </c>
      <c r="K6692" s="26" t="str">
        <f>VLOOKUP(Tabela1[[#This Row],[Cliente]],'BASE DE CLIENTES'!A:D,4,0)</f>
        <v>OUTROS RAMOS</v>
      </c>
      <c r="L6692" s="26" t="str">
        <f>VLOOKUP(Tabela1[[#This Row],[Cliente]],'BASE DE CLIENTES'!A:E,5,0)</f>
        <v>Ananindeua</v>
      </c>
    </row>
    <row r="6693" spans="2:12" x14ac:dyDescent="0.3">
      <c r="B6693" t="s">
        <v>76</v>
      </c>
      <c r="C6693" s="26" t="str">
        <f>VLOOKUP(Tabela1[[#This Row],[Cliente]],'BASE DE CLIENTES'!A:E,2,0)</f>
        <v>Brasília</v>
      </c>
      <c r="D6693" s="26" t="str">
        <f>VLOOKUP(Tabela1[[#This Row],[Cliente]],'BASE DE CLIENTES'!A:C,3,0)</f>
        <v>DF</v>
      </c>
      <c r="E6693" s="26" t="str">
        <f>CONCATENATE(Tabela1[[#This Row],[CIDADE]],",",Tabela1[[#This Row],[UF]])</f>
        <v>Brasília,DF</v>
      </c>
      <c r="F6693" s="12">
        <v>46230</v>
      </c>
      <c r="G6693" s="14">
        <v>600</v>
      </c>
      <c r="H6693" s="13">
        <v>800</v>
      </c>
      <c r="I6693" s="7">
        <f>Tabela1[[#This Row],[Valor total]]-Tabela1[[#This Row],[Valor custo]]</f>
        <v>200</v>
      </c>
      <c r="J6693" s="27">
        <f>Tabela1[[#This Row],[MARGEM BRUTA]]/Tabela1[[#This Row],[Valor total]]</f>
        <v>0.25</v>
      </c>
      <c r="K6693" s="26" t="str">
        <f>VLOOKUP(Tabela1[[#This Row],[Cliente]],'BASE DE CLIENTES'!A:D,4,0)</f>
        <v>EMPRESA COM MAQUINA</v>
      </c>
      <c r="L6693" s="26" t="str">
        <f>VLOOKUP(Tabela1[[#This Row],[Cliente]],'BASE DE CLIENTES'!A:E,5,0)</f>
        <v>Setor Placa da Mercedes (Núcleo Bandeirante)</v>
      </c>
    </row>
    <row r="6694" spans="2:12" x14ac:dyDescent="0.3">
      <c r="B6694" t="s">
        <v>1223</v>
      </c>
      <c r="C6694" s="26" t="str">
        <f>VLOOKUP(Tabela1[[#This Row],[Cliente]],'BASE DE CLIENTES'!A:E,2,0)</f>
        <v>MERCADO LIVRE</v>
      </c>
      <c r="D6694" s="26" t="str">
        <f>VLOOKUP(Tabela1[[#This Row],[Cliente]],'BASE DE CLIENTES'!A:C,3,0)</f>
        <v>MERCADO LIVRE</v>
      </c>
      <c r="E6694" s="26" t="str">
        <f>CONCATENATE(Tabela1[[#This Row],[CIDADE]],",",Tabela1[[#This Row],[UF]])</f>
        <v>MERCADO LIVRE,MERCADO LIVRE</v>
      </c>
      <c r="F6694" s="12">
        <v>46231</v>
      </c>
      <c r="G6694" s="14">
        <v>0</v>
      </c>
      <c r="H6694" s="13">
        <v>23.99</v>
      </c>
      <c r="I6694" s="7">
        <f>Tabela1[[#This Row],[Valor total]]-Tabela1[[#This Row],[Valor custo]]</f>
        <v>23.99</v>
      </c>
      <c r="J6694" s="27">
        <f>Tabela1[[#This Row],[MARGEM BRUTA]]/Tabela1[[#This Row],[Valor total]]</f>
        <v>1</v>
      </c>
      <c r="K6694" s="26" t="str">
        <f>VLOOKUP(Tabela1[[#This Row],[Cliente]],'BASE DE CLIENTES'!A:D,4,0)</f>
        <v>OUTROS RAMOS</v>
      </c>
      <c r="L6694" s="26" t="str">
        <f>VLOOKUP(Tabela1[[#This Row],[Cliente]],'BASE DE CLIENTES'!A:E,5,0)</f>
        <v>MERCADO LIVRE</v>
      </c>
    </row>
    <row r="6695" spans="2:12" x14ac:dyDescent="0.3">
      <c r="B6695" t="s">
        <v>199</v>
      </c>
      <c r="C6695" s="26" t="str">
        <f>VLOOKUP(Tabela1[[#This Row],[Cliente]],'BASE DE CLIENTES'!A:E,2,0)</f>
        <v>Goiânia</v>
      </c>
      <c r="D6695" s="26" t="str">
        <f>VLOOKUP(Tabela1[[#This Row],[Cliente]],'BASE DE CLIENTES'!A:C,3,0)</f>
        <v>GO</v>
      </c>
      <c r="E6695" s="26" t="str">
        <f>CONCATENATE(Tabela1[[#This Row],[CIDADE]],",",Tabela1[[#This Row],[UF]])</f>
        <v>Goiânia,GO</v>
      </c>
      <c r="F6695" s="12">
        <v>46231</v>
      </c>
      <c r="G6695" s="14">
        <v>2768.76</v>
      </c>
      <c r="H6695" s="13">
        <v>4250</v>
      </c>
      <c r="I6695" s="7">
        <f>Tabela1[[#This Row],[Valor total]]-Tabela1[[#This Row],[Valor custo]]</f>
        <v>1481.2399999999998</v>
      </c>
      <c r="J6695" s="27">
        <f>Tabela1[[#This Row],[MARGEM BRUTA]]/Tabela1[[#This Row],[Valor total]]</f>
        <v>0.34852705882352936</v>
      </c>
      <c r="K6695" s="26" t="str">
        <f>VLOOKUP(Tabela1[[#This Row],[Cliente]],'BASE DE CLIENTES'!A:D,4,0)</f>
        <v>EMPRESA COM MAQUINA</v>
      </c>
      <c r="L6695" s="26" t="str">
        <f>VLOOKUP(Tabela1[[#This Row],[Cliente]],'BASE DE CLIENTES'!A:E,5,0)</f>
        <v>Goiânia</v>
      </c>
    </row>
    <row r="6696" spans="2:12" x14ac:dyDescent="0.3">
      <c r="B6696" t="s">
        <v>1304</v>
      </c>
      <c r="C6696" s="26" t="str">
        <f>VLOOKUP(Tabela1[[#This Row],[Cliente]],'BASE DE CLIENTES'!A:E,2,0)</f>
        <v>Uberlândia</v>
      </c>
      <c r="D6696" s="26" t="str">
        <f>VLOOKUP(Tabela1[[#This Row],[Cliente]],'BASE DE CLIENTES'!A:C,3,0)</f>
        <v>MG</v>
      </c>
      <c r="E6696" s="26" t="str">
        <f>CONCATENATE(Tabela1[[#This Row],[CIDADE]],",",Tabela1[[#This Row],[UF]])</f>
        <v>Uberlândia,MG</v>
      </c>
      <c r="F6696" s="12">
        <v>46231</v>
      </c>
      <c r="G6696" s="14">
        <v>14796.66</v>
      </c>
      <c r="H6696" s="13">
        <v>20520</v>
      </c>
      <c r="I6696" s="7">
        <f>Tabela1[[#This Row],[Valor total]]-Tabela1[[#This Row],[Valor custo]]</f>
        <v>5723.34</v>
      </c>
      <c r="J6696" s="27">
        <f>Tabela1[[#This Row],[MARGEM BRUTA]]/Tabela1[[#This Row],[Valor total]]</f>
        <v>0.27891520467836256</v>
      </c>
      <c r="K6696" s="26" t="str">
        <f>VLOOKUP(Tabela1[[#This Row],[Cliente]],'BASE DE CLIENTES'!A:D,4,0)</f>
        <v>CLIENTE NOVO S/ IDENT.</v>
      </c>
      <c r="L6696" s="26" t="str">
        <f>VLOOKUP(Tabela1[[#This Row],[Cliente]],'BASE DE CLIENTES'!A:E,5,0)</f>
        <v>Uberlândia</v>
      </c>
    </row>
    <row r="6697" spans="2:12" x14ac:dyDescent="0.3">
      <c r="B6697" t="s">
        <v>1223</v>
      </c>
      <c r="C6697" s="26" t="str">
        <f>VLOOKUP(Tabela1[[#This Row],[Cliente]],'BASE DE CLIENTES'!A:E,2,0)</f>
        <v>MERCADO LIVRE</v>
      </c>
      <c r="D6697" s="26" t="str">
        <f>VLOOKUP(Tabela1[[#This Row],[Cliente]],'BASE DE CLIENTES'!A:C,3,0)</f>
        <v>MERCADO LIVRE</v>
      </c>
      <c r="E6697" s="26" t="str">
        <f>CONCATENATE(Tabela1[[#This Row],[CIDADE]],",",Tabela1[[#This Row],[UF]])</f>
        <v>MERCADO LIVRE,MERCADO LIVRE</v>
      </c>
      <c r="F6697" s="12">
        <v>46231</v>
      </c>
      <c r="G6697" s="14">
        <v>56.28</v>
      </c>
      <c r="H6697" s="13">
        <v>195.05</v>
      </c>
      <c r="I6697" s="7">
        <f>Tabela1[[#This Row],[Valor total]]-Tabela1[[#This Row],[Valor custo]]</f>
        <v>138.77000000000001</v>
      </c>
      <c r="J6697" s="27">
        <f>Tabela1[[#This Row],[MARGEM BRUTA]]/Tabela1[[#This Row],[Valor total]]</f>
        <v>0.71145860035888231</v>
      </c>
      <c r="K6697" s="26" t="str">
        <f>VLOOKUP(Tabela1[[#This Row],[Cliente]],'BASE DE CLIENTES'!A:D,4,0)</f>
        <v>OUTROS RAMOS</v>
      </c>
      <c r="L6697" s="26" t="str">
        <f>VLOOKUP(Tabela1[[#This Row],[Cliente]],'BASE DE CLIENTES'!A:E,5,0)</f>
        <v>MERCADO LIVRE</v>
      </c>
    </row>
    <row r="6698" spans="2:12" x14ac:dyDescent="0.3">
      <c r="B6698" t="s">
        <v>27</v>
      </c>
      <c r="C6698" s="26" t="str">
        <f>VLOOKUP(Tabela1[[#This Row],[Cliente]],'BASE DE CLIENTES'!A:E,2,0)</f>
        <v>Brasília</v>
      </c>
      <c r="D6698" s="26" t="str">
        <f>VLOOKUP(Tabela1[[#This Row],[Cliente]],'BASE DE CLIENTES'!A:C,3,0)</f>
        <v>DF</v>
      </c>
      <c r="E6698" s="26" t="str">
        <f>CONCATENATE(Tabela1[[#This Row],[CIDADE]],",",Tabela1[[#This Row],[UF]])</f>
        <v>Brasília,DF</v>
      </c>
      <c r="F6698" s="12">
        <v>46231</v>
      </c>
      <c r="G6698" s="14">
        <v>760</v>
      </c>
      <c r="H6698" s="13">
        <v>1230</v>
      </c>
      <c r="I6698" s="7">
        <f>Tabela1[[#This Row],[Valor total]]-Tabela1[[#This Row],[Valor custo]]</f>
        <v>470</v>
      </c>
      <c r="J6698" s="27">
        <f>Tabela1[[#This Row],[MARGEM BRUTA]]/Tabela1[[#This Row],[Valor total]]</f>
        <v>0.38211382113821141</v>
      </c>
      <c r="K6698" s="26" t="str">
        <f>VLOOKUP(Tabela1[[#This Row],[Cliente]],'BASE DE CLIENTES'!A:D,4,0)</f>
        <v>EMPRESA SEM MAQUINA</v>
      </c>
      <c r="L6698" s="26" t="str">
        <f>VLOOKUP(Tabela1[[#This Row],[Cliente]],'BASE DE CLIENTES'!A:E,5,0)</f>
        <v>RECANTO DAS EMAS</v>
      </c>
    </row>
    <row r="6699" spans="2:12" x14ac:dyDescent="0.3">
      <c r="B6699" t="s">
        <v>183</v>
      </c>
      <c r="C6699" s="26" t="str">
        <f>VLOOKUP(Tabela1[[#This Row],[Cliente]],'BASE DE CLIENTES'!A:E,2,0)</f>
        <v>Caldas Novas</v>
      </c>
      <c r="D6699" s="26" t="str">
        <f>VLOOKUP(Tabela1[[#This Row],[Cliente]],'BASE DE CLIENTES'!A:C,3,0)</f>
        <v>GO</v>
      </c>
      <c r="E6699" s="26" t="str">
        <f>CONCATENATE(Tabela1[[#This Row],[CIDADE]],",",Tabela1[[#This Row],[UF]])</f>
        <v>Caldas Novas,GO</v>
      </c>
      <c r="F6699" s="12">
        <v>46230</v>
      </c>
      <c r="G6699" s="14">
        <v>228</v>
      </c>
      <c r="H6699" s="13">
        <v>675</v>
      </c>
      <c r="I6699" s="7">
        <f>Tabela1[[#This Row],[Valor total]]-Tabela1[[#This Row],[Valor custo]]</f>
        <v>447</v>
      </c>
      <c r="J6699" s="27">
        <f>Tabela1[[#This Row],[MARGEM BRUTA]]/Tabela1[[#This Row],[Valor total]]</f>
        <v>0.66222222222222227</v>
      </c>
      <c r="K6699" s="26" t="str">
        <f>VLOOKUP(Tabela1[[#This Row],[Cliente]],'BASE DE CLIENTES'!A:D,4,0)</f>
        <v>EMPRESA COM MAQUINA</v>
      </c>
      <c r="L6699" s="26" t="str">
        <f>VLOOKUP(Tabela1[[#This Row],[Cliente]],'BASE DE CLIENTES'!A:E,5,0)</f>
        <v>Caldas Novas</v>
      </c>
    </row>
    <row r="6700" spans="2:12" x14ac:dyDescent="0.3">
      <c r="B6700" t="s">
        <v>117</v>
      </c>
      <c r="C6700" s="26" t="str">
        <f>VLOOKUP(Tabela1[[#This Row],[Cliente]],'BASE DE CLIENTES'!A:E,2,0)</f>
        <v>Brasília</v>
      </c>
      <c r="D6700" s="26" t="str">
        <f>VLOOKUP(Tabela1[[#This Row],[Cliente]],'BASE DE CLIENTES'!A:C,3,0)</f>
        <v>DF</v>
      </c>
      <c r="E6700" s="26" t="str">
        <f>CONCATENATE(Tabela1[[#This Row],[CIDADE]],",",Tabela1[[#This Row],[UF]])</f>
        <v>Brasília,DF</v>
      </c>
      <c r="F6700" s="12">
        <v>46230</v>
      </c>
      <c r="G6700" s="14">
        <v>61</v>
      </c>
      <c r="H6700" s="13">
        <v>90</v>
      </c>
      <c r="I6700" s="7">
        <f>Tabela1[[#This Row],[Valor total]]-Tabela1[[#This Row],[Valor custo]]</f>
        <v>29</v>
      </c>
      <c r="J6700" s="27">
        <f>Tabela1[[#This Row],[MARGEM BRUTA]]/Tabela1[[#This Row],[Valor total]]</f>
        <v>0.32222222222222224</v>
      </c>
      <c r="K6700" s="26" t="str">
        <f>VLOOKUP(Tabela1[[#This Row],[Cliente]],'BASE DE CLIENTES'!A:D,4,0)</f>
        <v>EMPRESA COM MAQUINA</v>
      </c>
      <c r="L6700" s="26" t="str">
        <f>VLOOKUP(Tabela1[[#This Row],[Cliente]],'BASE DE CLIENTES'!A:E,5,0)</f>
        <v>SETOR HABITACIONAL ARNIQUEIRA (AGUAS CLARAS)</v>
      </c>
    </row>
    <row r="6701" spans="2:12" x14ac:dyDescent="0.3">
      <c r="B6701" t="s">
        <v>1223</v>
      </c>
      <c r="C6701" s="26" t="str">
        <f>VLOOKUP(Tabela1[[#This Row],[Cliente]],'BASE DE CLIENTES'!A:E,2,0)</f>
        <v>MERCADO LIVRE</v>
      </c>
      <c r="D6701" s="26" t="str">
        <f>VLOOKUP(Tabela1[[#This Row],[Cliente]],'BASE DE CLIENTES'!A:C,3,0)</f>
        <v>MERCADO LIVRE</v>
      </c>
      <c r="E6701" s="26" t="str">
        <f>CONCATENATE(Tabela1[[#This Row],[CIDADE]],",",Tabela1[[#This Row],[UF]])</f>
        <v>MERCADO LIVRE,MERCADO LIVRE</v>
      </c>
      <c r="F6701" s="12">
        <v>46230</v>
      </c>
      <c r="G6701" s="14">
        <v>0</v>
      </c>
      <c r="H6701" s="13">
        <v>38.03</v>
      </c>
      <c r="I6701" s="7">
        <f>Tabela1[[#This Row],[Valor total]]-Tabela1[[#This Row],[Valor custo]]</f>
        <v>38.03</v>
      </c>
      <c r="J6701" s="27">
        <f>Tabela1[[#This Row],[MARGEM BRUTA]]/Tabela1[[#This Row],[Valor total]]</f>
        <v>1</v>
      </c>
      <c r="K6701" s="26" t="str">
        <f>VLOOKUP(Tabela1[[#This Row],[Cliente]],'BASE DE CLIENTES'!A:D,4,0)</f>
        <v>OUTROS RAMOS</v>
      </c>
      <c r="L6701" s="26" t="str">
        <f>VLOOKUP(Tabela1[[#This Row],[Cliente]],'BASE DE CLIENTES'!A:E,5,0)</f>
        <v>MERCADO LIVRE</v>
      </c>
    </row>
    <row r="6702" spans="2:12" x14ac:dyDescent="0.3">
      <c r="B6702" t="s">
        <v>1223</v>
      </c>
      <c r="C6702" s="26" t="str">
        <f>VLOOKUP(Tabela1[[#This Row],[Cliente]],'BASE DE CLIENTES'!A:E,2,0)</f>
        <v>MERCADO LIVRE</v>
      </c>
      <c r="D6702" s="26" t="str">
        <f>VLOOKUP(Tabela1[[#This Row],[Cliente]],'BASE DE CLIENTES'!A:C,3,0)</f>
        <v>MERCADO LIVRE</v>
      </c>
      <c r="E6702" s="26" t="str">
        <f>CONCATENATE(Tabela1[[#This Row],[CIDADE]],",",Tabela1[[#This Row],[UF]])</f>
        <v>MERCADO LIVRE,MERCADO LIVRE</v>
      </c>
      <c r="F6702" s="12">
        <v>46230</v>
      </c>
      <c r="G6702" s="14">
        <v>15.2</v>
      </c>
      <c r="H6702" s="13">
        <v>39.659999999999997</v>
      </c>
      <c r="I6702" s="7">
        <f>Tabela1[[#This Row],[Valor total]]-Tabela1[[#This Row],[Valor custo]]</f>
        <v>24.459999999999997</v>
      </c>
      <c r="J6702" s="27">
        <f>Tabela1[[#This Row],[MARGEM BRUTA]]/Tabela1[[#This Row],[Valor total]]</f>
        <v>0.61674230963187093</v>
      </c>
      <c r="K6702" s="26" t="str">
        <f>VLOOKUP(Tabela1[[#This Row],[Cliente]],'BASE DE CLIENTES'!A:D,4,0)</f>
        <v>OUTROS RAMOS</v>
      </c>
      <c r="L6702" s="26" t="str">
        <f>VLOOKUP(Tabela1[[#This Row],[Cliente]],'BASE DE CLIENTES'!A:E,5,0)</f>
        <v>MERCADO LIVRE</v>
      </c>
    </row>
    <row r="6703" spans="2:12" x14ac:dyDescent="0.3">
      <c r="B6703" t="s">
        <v>117</v>
      </c>
      <c r="C6703" s="26" t="str">
        <f>VLOOKUP(Tabela1[[#This Row],[Cliente]],'BASE DE CLIENTES'!A:E,2,0)</f>
        <v>Brasília</v>
      </c>
      <c r="D6703" s="26" t="str">
        <f>VLOOKUP(Tabela1[[#This Row],[Cliente]],'BASE DE CLIENTES'!A:C,3,0)</f>
        <v>DF</v>
      </c>
      <c r="E6703" s="26" t="str">
        <f>CONCATENATE(Tabela1[[#This Row],[CIDADE]],",",Tabela1[[#This Row],[UF]])</f>
        <v>Brasília,DF</v>
      </c>
      <c r="F6703" s="12">
        <v>46230</v>
      </c>
      <c r="G6703" s="14">
        <v>224.56</v>
      </c>
      <c r="H6703" s="13">
        <v>435</v>
      </c>
      <c r="I6703" s="7">
        <f>Tabela1[[#This Row],[Valor total]]-Tabela1[[#This Row],[Valor custo]]</f>
        <v>210.44</v>
      </c>
      <c r="J6703" s="27">
        <f>Tabela1[[#This Row],[MARGEM BRUTA]]/Tabela1[[#This Row],[Valor total]]</f>
        <v>0.48377011494252875</v>
      </c>
      <c r="K6703" s="26" t="str">
        <f>VLOOKUP(Tabela1[[#This Row],[Cliente]],'BASE DE CLIENTES'!A:D,4,0)</f>
        <v>EMPRESA COM MAQUINA</v>
      </c>
      <c r="L6703" s="26" t="str">
        <f>VLOOKUP(Tabela1[[#This Row],[Cliente]],'BASE DE CLIENTES'!A:E,5,0)</f>
        <v>SETOR HABITACIONAL ARNIQUEIRA (AGUAS CLARAS)</v>
      </c>
    </row>
    <row r="6704" spans="2:12" x14ac:dyDescent="0.3">
      <c r="B6704" t="s">
        <v>42</v>
      </c>
      <c r="C6704" s="26" t="str">
        <f>VLOOKUP(Tabela1[[#This Row],[Cliente]],'BASE DE CLIENTES'!A:E,2,0)</f>
        <v>Brasília</v>
      </c>
      <c r="D6704" s="26" t="str">
        <f>VLOOKUP(Tabela1[[#This Row],[Cliente]],'BASE DE CLIENTES'!A:C,3,0)</f>
        <v>DF</v>
      </c>
      <c r="E6704" s="26" t="str">
        <f>CONCATENATE(Tabela1[[#This Row],[CIDADE]],",",Tabela1[[#This Row],[UF]])</f>
        <v>Brasília,DF</v>
      </c>
      <c r="F6704" s="12">
        <v>46230</v>
      </c>
      <c r="G6704" s="14">
        <v>670</v>
      </c>
      <c r="H6704" s="13">
        <v>1100</v>
      </c>
      <c r="I6704" s="7">
        <f>Tabela1[[#This Row],[Valor total]]-Tabela1[[#This Row],[Valor custo]]</f>
        <v>430</v>
      </c>
      <c r="J6704" s="27">
        <f>Tabela1[[#This Row],[MARGEM BRUTA]]/Tabela1[[#This Row],[Valor total]]</f>
        <v>0.39090909090909093</v>
      </c>
      <c r="K6704" s="26" t="str">
        <f>VLOOKUP(Tabela1[[#This Row],[Cliente]],'BASE DE CLIENTES'!A:D,4,0)</f>
        <v>EMPRESA SEM MAQUINA</v>
      </c>
      <c r="L6704" s="26" t="str">
        <f>VLOOKUP(Tabela1[[#This Row],[Cliente]],'BASE DE CLIENTES'!A:E,5,0)</f>
        <v>SAMAMBAIA</v>
      </c>
    </row>
    <row r="6705" spans="2:12" x14ac:dyDescent="0.3">
      <c r="B6705" t="s">
        <v>78</v>
      </c>
      <c r="C6705" s="26" t="str">
        <f>VLOOKUP(Tabela1[[#This Row],[Cliente]],'BASE DE CLIENTES'!A:E,2,0)</f>
        <v>Brasília</v>
      </c>
      <c r="D6705" s="26" t="str">
        <f>VLOOKUP(Tabela1[[#This Row],[Cliente]],'BASE DE CLIENTES'!A:C,3,0)</f>
        <v>DF</v>
      </c>
      <c r="E6705" s="26" t="str">
        <f>CONCATENATE(Tabela1[[#This Row],[CIDADE]],",",Tabela1[[#This Row],[UF]])</f>
        <v>Brasília,DF</v>
      </c>
      <c r="F6705" s="12">
        <v>46230</v>
      </c>
      <c r="G6705" s="14">
        <v>76</v>
      </c>
      <c r="H6705" s="13">
        <v>120</v>
      </c>
      <c r="I6705" s="7">
        <f>Tabela1[[#This Row],[Valor total]]-Tabela1[[#This Row],[Valor custo]]</f>
        <v>44</v>
      </c>
      <c r="J6705" s="27">
        <f>Tabela1[[#This Row],[MARGEM BRUTA]]/Tabela1[[#This Row],[Valor total]]</f>
        <v>0.36666666666666664</v>
      </c>
      <c r="K6705" s="26" t="str">
        <f>VLOOKUP(Tabela1[[#This Row],[Cliente]],'BASE DE CLIENTES'!A:D,4,0)</f>
        <v>SERRALHEIRO</v>
      </c>
      <c r="L6705" s="26" t="str">
        <f>VLOOKUP(Tabela1[[#This Row],[Cliente]],'BASE DE CLIENTES'!A:E,5,0)</f>
        <v>Vila do Boa (São Sebastião)</v>
      </c>
    </row>
    <row r="6706" spans="2:12" x14ac:dyDescent="0.3">
      <c r="B6706" t="s">
        <v>52</v>
      </c>
      <c r="C6706" s="26" t="str">
        <f>VLOOKUP(Tabela1[[#This Row],[Cliente]],'BASE DE CLIENTES'!A:E,2,0)</f>
        <v>Brasília</v>
      </c>
      <c r="D6706" s="26" t="str">
        <f>VLOOKUP(Tabela1[[#This Row],[Cliente]],'BASE DE CLIENTES'!A:C,3,0)</f>
        <v>DF</v>
      </c>
      <c r="E6706" s="26" t="str">
        <f>CONCATENATE(Tabela1[[#This Row],[CIDADE]],",",Tabela1[[#This Row],[UF]])</f>
        <v>Brasília,DF</v>
      </c>
      <c r="F6706" s="12">
        <v>46230</v>
      </c>
      <c r="G6706" s="14">
        <v>77.400000000000006</v>
      </c>
      <c r="H6706" s="13">
        <v>190</v>
      </c>
      <c r="I6706" s="7">
        <f>Tabela1[[#This Row],[Valor total]]-Tabela1[[#This Row],[Valor custo]]</f>
        <v>112.6</v>
      </c>
      <c r="J6706" s="27">
        <f>Tabela1[[#This Row],[MARGEM BRUTA]]/Tabela1[[#This Row],[Valor total]]</f>
        <v>0.5926315789473684</v>
      </c>
      <c r="K6706" s="26" t="str">
        <f>VLOOKUP(Tabela1[[#This Row],[Cliente]],'BASE DE CLIENTES'!A:D,4,0)</f>
        <v>SERRALHEIRO</v>
      </c>
      <c r="L6706" s="26" t="str">
        <f>VLOOKUP(Tabela1[[#This Row],[Cliente]],'BASE DE CLIENTES'!A:E,5,0)</f>
        <v>Ceilândia Sul (Ceilândia)</v>
      </c>
    </row>
    <row r="6707" spans="2:12" x14ac:dyDescent="0.3">
      <c r="B6707" t="s">
        <v>316</v>
      </c>
      <c r="C6707" s="26" t="str">
        <f>VLOOKUP(Tabela1[[#This Row],[Cliente]],'BASE DE CLIENTES'!A:E,2,0)</f>
        <v>Valparaíso de Goiás</v>
      </c>
      <c r="D6707" s="26" t="str">
        <f>VLOOKUP(Tabela1[[#This Row],[Cliente]],'BASE DE CLIENTES'!A:C,3,0)</f>
        <v>GO</v>
      </c>
      <c r="E6707" s="26" t="str">
        <f>CONCATENATE(Tabela1[[#This Row],[CIDADE]],",",Tabela1[[#This Row],[UF]])</f>
        <v>Valparaíso de Goiás,GO</v>
      </c>
      <c r="F6707" s="12">
        <v>46230</v>
      </c>
      <c r="G6707" s="14">
        <v>76</v>
      </c>
      <c r="H6707" s="13">
        <v>120</v>
      </c>
      <c r="I6707" s="7">
        <f>Tabela1[[#This Row],[Valor total]]-Tabela1[[#This Row],[Valor custo]]</f>
        <v>44</v>
      </c>
      <c r="J6707" s="27">
        <f>Tabela1[[#This Row],[MARGEM BRUTA]]/Tabela1[[#This Row],[Valor total]]</f>
        <v>0.36666666666666664</v>
      </c>
      <c r="K6707" s="26" t="str">
        <f>VLOOKUP(Tabela1[[#This Row],[Cliente]],'BASE DE CLIENTES'!A:D,4,0)</f>
        <v>SERRALHEIRO</v>
      </c>
      <c r="L6707" s="26" t="str">
        <f>VLOOKUP(Tabela1[[#This Row],[Cliente]],'BASE DE CLIENTES'!A:E,5,0)</f>
        <v>Valparaíso de Goiás</v>
      </c>
    </row>
    <row r="6708" spans="2:12" x14ac:dyDescent="0.3">
      <c r="B6708" t="s">
        <v>109</v>
      </c>
      <c r="C6708" s="26" t="str">
        <f>VLOOKUP(Tabela1[[#This Row],[Cliente]],'BASE DE CLIENTES'!A:E,2,0)</f>
        <v>Águas Lindas de Goiás</v>
      </c>
      <c r="D6708" s="26" t="str">
        <f>VLOOKUP(Tabela1[[#This Row],[Cliente]],'BASE DE CLIENTES'!A:C,3,0)</f>
        <v>GO</v>
      </c>
      <c r="E6708" s="26" t="str">
        <f>CONCATENATE(Tabela1[[#This Row],[CIDADE]],",",Tabela1[[#This Row],[UF]])</f>
        <v>Águas Lindas de Goiás,GO</v>
      </c>
      <c r="F6708" s="12">
        <v>46230</v>
      </c>
      <c r="G6708" s="14">
        <v>30.4</v>
      </c>
      <c r="H6708" s="13">
        <v>120</v>
      </c>
      <c r="I6708" s="7">
        <f>Tabela1[[#This Row],[Valor total]]-Tabela1[[#This Row],[Valor custo]]</f>
        <v>89.6</v>
      </c>
      <c r="J6708" s="27">
        <f>Tabela1[[#This Row],[MARGEM BRUTA]]/Tabela1[[#This Row],[Valor total]]</f>
        <v>0.74666666666666659</v>
      </c>
      <c r="K6708" s="26" t="str">
        <f>VLOOKUP(Tabela1[[#This Row],[Cliente]],'BASE DE CLIENTES'!A:D,4,0)</f>
        <v>SERRALHEIRO</v>
      </c>
      <c r="L6708" s="26" t="str">
        <f>VLOOKUP(Tabela1[[#This Row],[Cliente]],'BASE DE CLIENTES'!A:E,5,0)</f>
        <v>Águas Lindas de Goiás</v>
      </c>
    </row>
    <row r="6709" spans="2:12" x14ac:dyDescent="0.3">
      <c r="B6709" t="s">
        <v>247</v>
      </c>
      <c r="C6709" s="26" t="str">
        <f>VLOOKUP(Tabela1[[#This Row],[Cliente]],'BASE DE CLIENTES'!A:E,2,0)</f>
        <v>Goianira</v>
      </c>
      <c r="D6709" s="26" t="str">
        <f>VLOOKUP(Tabela1[[#This Row],[Cliente]],'BASE DE CLIENTES'!A:C,3,0)</f>
        <v>GO</v>
      </c>
      <c r="E6709" s="26" t="str">
        <f>CONCATENATE(Tabela1[[#This Row],[CIDADE]],",",Tabela1[[#This Row],[UF]])</f>
        <v>Goianira,GO</v>
      </c>
      <c r="F6709" s="12">
        <v>46230</v>
      </c>
      <c r="G6709" s="14">
        <v>5350.05</v>
      </c>
      <c r="H6709" s="13">
        <v>9340</v>
      </c>
      <c r="I6709" s="7">
        <f>Tabela1[[#This Row],[Valor total]]-Tabela1[[#This Row],[Valor custo]]</f>
        <v>3989.95</v>
      </c>
      <c r="J6709" s="27">
        <f>Tabela1[[#This Row],[MARGEM BRUTA]]/Tabela1[[#This Row],[Valor total]]</f>
        <v>0.42718950749464668</v>
      </c>
      <c r="K6709" s="26" t="str">
        <f>VLOOKUP(Tabela1[[#This Row],[Cliente]],'BASE DE CLIENTES'!A:D,4,0)</f>
        <v>EMPRESA SEM MAQUINA</v>
      </c>
      <c r="L6709" s="26" t="str">
        <f>VLOOKUP(Tabela1[[#This Row],[Cliente]],'BASE DE CLIENTES'!A:E,5,0)</f>
        <v>Goianira</v>
      </c>
    </row>
    <row r="6710" spans="2:12" x14ac:dyDescent="0.3">
      <c r="B6710" t="s">
        <v>97</v>
      </c>
      <c r="C6710" s="26" t="str">
        <f>VLOOKUP(Tabela1[[#This Row],[Cliente]],'BASE DE CLIENTES'!A:E,2,0)</f>
        <v>Brasília</v>
      </c>
      <c r="D6710" s="26" t="str">
        <f>VLOOKUP(Tabela1[[#This Row],[Cliente]],'BASE DE CLIENTES'!A:C,3,0)</f>
        <v>DF</v>
      </c>
      <c r="E6710" s="26" t="str">
        <f>CONCATENATE(Tabela1[[#This Row],[CIDADE]],",",Tabela1[[#This Row],[UF]])</f>
        <v>Brasília,DF</v>
      </c>
      <c r="F6710" s="12">
        <v>46230</v>
      </c>
      <c r="G6710" s="14">
        <v>101</v>
      </c>
      <c r="H6710" s="13">
        <v>240</v>
      </c>
      <c r="I6710" s="7">
        <f>Tabela1[[#This Row],[Valor total]]-Tabela1[[#This Row],[Valor custo]]</f>
        <v>139</v>
      </c>
      <c r="J6710" s="27">
        <f>Tabela1[[#This Row],[MARGEM BRUTA]]/Tabela1[[#This Row],[Valor total]]</f>
        <v>0.57916666666666672</v>
      </c>
      <c r="K6710" s="26" t="str">
        <f>VLOOKUP(Tabela1[[#This Row],[Cliente]],'BASE DE CLIENTES'!A:D,4,0)</f>
        <v>SERRALHEIRO</v>
      </c>
      <c r="L6710" s="26" t="str">
        <f>VLOOKUP(Tabela1[[#This Row],[Cliente]],'BASE DE CLIENTES'!A:E,5,0)</f>
        <v>CEILANDIA NORTE</v>
      </c>
    </row>
    <row r="6711" spans="2:12" x14ac:dyDescent="0.3">
      <c r="B6711" t="s">
        <v>1223</v>
      </c>
      <c r="C6711" s="26" t="str">
        <f>VLOOKUP(Tabela1[[#This Row],[Cliente]],'BASE DE CLIENTES'!A:E,2,0)</f>
        <v>MERCADO LIVRE</v>
      </c>
      <c r="D6711" s="26" t="str">
        <f>VLOOKUP(Tabela1[[#This Row],[Cliente]],'BASE DE CLIENTES'!A:C,3,0)</f>
        <v>MERCADO LIVRE</v>
      </c>
      <c r="E6711" s="26" t="str">
        <f>CONCATENATE(Tabela1[[#This Row],[CIDADE]],",",Tabela1[[#This Row],[UF]])</f>
        <v>MERCADO LIVRE,MERCADO LIVRE</v>
      </c>
      <c r="F6711" s="12">
        <v>46230</v>
      </c>
      <c r="G6711" s="14">
        <v>56.28</v>
      </c>
      <c r="H6711" s="13">
        <v>198.32</v>
      </c>
      <c r="I6711" s="7">
        <f>Tabela1[[#This Row],[Valor total]]-Tabela1[[#This Row],[Valor custo]]</f>
        <v>142.04</v>
      </c>
      <c r="J6711" s="27">
        <f>Tabela1[[#This Row],[MARGEM BRUTA]]/Tabela1[[#This Row],[Valor total]]</f>
        <v>0.71621621621621623</v>
      </c>
      <c r="K6711" s="26" t="str">
        <f>VLOOKUP(Tabela1[[#This Row],[Cliente]],'BASE DE CLIENTES'!A:D,4,0)</f>
        <v>OUTROS RAMOS</v>
      </c>
      <c r="L6711" s="26" t="str">
        <f>VLOOKUP(Tabela1[[#This Row],[Cliente]],'BASE DE CLIENTES'!A:E,5,0)</f>
        <v>MERCADO LIVRE</v>
      </c>
    </row>
    <row r="6712" spans="2:12" x14ac:dyDescent="0.3">
      <c r="B6712" t="s">
        <v>88</v>
      </c>
      <c r="C6712" s="26" t="str">
        <f>VLOOKUP(Tabela1[[#This Row],[Cliente]],'BASE DE CLIENTES'!A:E,2,0)</f>
        <v>Brasília</v>
      </c>
      <c r="D6712" s="26" t="str">
        <f>VLOOKUP(Tabela1[[#This Row],[Cliente]],'BASE DE CLIENTES'!A:C,3,0)</f>
        <v>DF</v>
      </c>
      <c r="E6712" s="26" t="str">
        <f>CONCATENATE(Tabela1[[#This Row],[CIDADE]],",",Tabela1[[#This Row],[UF]])</f>
        <v>Brasília,DF</v>
      </c>
      <c r="F6712" s="12">
        <v>46230</v>
      </c>
      <c r="G6712" s="14">
        <v>380</v>
      </c>
      <c r="H6712" s="13">
        <v>1845</v>
      </c>
      <c r="I6712" s="7">
        <f>Tabela1[[#This Row],[Valor total]]-Tabela1[[#This Row],[Valor custo]]</f>
        <v>1465</v>
      </c>
      <c r="J6712" s="27">
        <f>Tabela1[[#This Row],[MARGEM BRUTA]]/Tabela1[[#This Row],[Valor total]]</f>
        <v>0.79403794037940378</v>
      </c>
      <c r="K6712" s="26" t="str">
        <f>VLOOKUP(Tabela1[[#This Row],[Cliente]],'BASE DE CLIENTES'!A:D,4,0)</f>
        <v>SERRALHEIRO</v>
      </c>
      <c r="L6712" s="26" t="str">
        <f>VLOOKUP(Tabela1[[#This Row],[Cliente]],'BASE DE CLIENTES'!A:E,5,0)</f>
        <v>RECANTO DAS EMAS</v>
      </c>
    </row>
    <row r="6713" spans="2:12" x14ac:dyDescent="0.3">
      <c r="B6713" t="s">
        <v>316</v>
      </c>
      <c r="C6713" s="26" t="str">
        <f>VLOOKUP(Tabela1[[#This Row],[Cliente]],'BASE DE CLIENTES'!A:E,2,0)</f>
        <v>Valparaíso de Goiás</v>
      </c>
      <c r="D6713" s="26" t="str">
        <f>VLOOKUP(Tabela1[[#This Row],[Cliente]],'BASE DE CLIENTES'!A:C,3,0)</f>
        <v>GO</v>
      </c>
      <c r="E6713" s="26" t="str">
        <f>CONCATENATE(Tabela1[[#This Row],[CIDADE]],",",Tabela1[[#This Row],[UF]])</f>
        <v>Valparaíso de Goiás,GO</v>
      </c>
      <c r="F6713" s="12">
        <v>46230</v>
      </c>
      <c r="G6713" s="14">
        <v>1984</v>
      </c>
      <c r="H6713" s="13">
        <v>3000</v>
      </c>
      <c r="I6713" s="7">
        <f>Tabela1[[#This Row],[Valor total]]-Tabela1[[#This Row],[Valor custo]]</f>
        <v>1016</v>
      </c>
      <c r="J6713" s="27">
        <f>Tabela1[[#This Row],[MARGEM BRUTA]]/Tabela1[[#This Row],[Valor total]]</f>
        <v>0.33866666666666667</v>
      </c>
      <c r="K6713" s="26" t="str">
        <f>VLOOKUP(Tabela1[[#This Row],[Cliente]],'BASE DE CLIENTES'!A:D,4,0)</f>
        <v>SERRALHEIRO</v>
      </c>
      <c r="L6713" s="26" t="str">
        <f>VLOOKUP(Tabela1[[#This Row],[Cliente]],'BASE DE CLIENTES'!A:E,5,0)</f>
        <v>Valparaíso de Goiás</v>
      </c>
    </row>
    <row r="6714" spans="2:12" x14ac:dyDescent="0.3">
      <c r="B6714" t="s">
        <v>27</v>
      </c>
      <c r="C6714" s="26" t="str">
        <f>VLOOKUP(Tabela1[[#This Row],[Cliente]],'BASE DE CLIENTES'!A:E,2,0)</f>
        <v>Brasília</v>
      </c>
      <c r="D6714" s="26" t="str">
        <f>VLOOKUP(Tabela1[[#This Row],[Cliente]],'BASE DE CLIENTES'!A:C,3,0)</f>
        <v>DF</v>
      </c>
      <c r="E6714" s="26" t="str">
        <f>CONCATENATE(Tabela1[[#This Row],[CIDADE]],",",Tabela1[[#This Row],[UF]])</f>
        <v>Brasília,DF</v>
      </c>
      <c r="F6714" s="12">
        <v>46230</v>
      </c>
      <c r="G6714" s="14">
        <v>2065.94</v>
      </c>
      <c r="H6714" s="13">
        <v>2760</v>
      </c>
      <c r="I6714" s="7">
        <f>Tabela1[[#This Row],[Valor total]]-Tabela1[[#This Row],[Valor custo]]</f>
        <v>694.06</v>
      </c>
      <c r="J6714" s="27">
        <f>Tabela1[[#This Row],[MARGEM BRUTA]]/Tabela1[[#This Row],[Valor total]]</f>
        <v>0.25147101449275361</v>
      </c>
      <c r="K6714" s="26" t="str">
        <f>VLOOKUP(Tabela1[[#This Row],[Cliente]],'BASE DE CLIENTES'!A:D,4,0)</f>
        <v>EMPRESA SEM MAQUINA</v>
      </c>
      <c r="L6714" s="26" t="str">
        <f>VLOOKUP(Tabela1[[#This Row],[Cliente]],'BASE DE CLIENTES'!A:E,5,0)</f>
        <v>RECANTO DAS EMAS</v>
      </c>
    </row>
    <row r="6715" spans="2:12" x14ac:dyDescent="0.3">
      <c r="B6715" t="s">
        <v>1223</v>
      </c>
      <c r="C6715" s="26" t="str">
        <f>VLOOKUP(Tabela1[[#This Row],[Cliente]],'BASE DE CLIENTES'!A:E,2,0)</f>
        <v>MERCADO LIVRE</v>
      </c>
      <c r="D6715" s="26" t="str">
        <f>VLOOKUP(Tabela1[[#This Row],[Cliente]],'BASE DE CLIENTES'!A:C,3,0)</f>
        <v>MERCADO LIVRE</v>
      </c>
      <c r="E6715" s="26" t="str">
        <f>CONCATENATE(Tabela1[[#This Row],[CIDADE]],",",Tabela1[[#This Row],[UF]])</f>
        <v>MERCADO LIVRE,MERCADO LIVRE</v>
      </c>
      <c r="F6715" s="12">
        <v>46230</v>
      </c>
      <c r="G6715" s="14">
        <v>15.2</v>
      </c>
      <c r="H6715" s="13">
        <v>131.02000000000001</v>
      </c>
      <c r="I6715" s="7">
        <f>Tabela1[[#This Row],[Valor total]]-Tabela1[[#This Row],[Valor custo]]</f>
        <v>115.82000000000001</v>
      </c>
      <c r="J6715" s="27">
        <f>Tabela1[[#This Row],[MARGEM BRUTA]]/Tabela1[[#This Row],[Valor total]]</f>
        <v>0.8839871775301481</v>
      </c>
      <c r="K6715" s="26" t="str">
        <f>VLOOKUP(Tabela1[[#This Row],[Cliente]],'BASE DE CLIENTES'!A:D,4,0)</f>
        <v>OUTROS RAMOS</v>
      </c>
      <c r="L6715" s="26" t="str">
        <f>VLOOKUP(Tabela1[[#This Row],[Cliente]],'BASE DE CLIENTES'!A:E,5,0)</f>
        <v>MERCADO LIVRE</v>
      </c>
    </row>
    <row r="6716" spans="2:12" x14ac:dyDescent="0.3">
      <c r="B6716" t="s">
        <v>1223</v>
      </c>
      <c r="C6716" s="26" t="str">
        <f>VLOOKUP(Tabela1[[#This Row],[Cliente]],'BASE DE CLIENTES'!A:E,2,0)</f>
        <v>MERCADO LIVRE</v>
      </c>
      <c r="D6716" s="26" t="str">
        <f>VLOOKUP(Tabela1[[#This Row],[Cliente]],'BASE DE CLIENTES'!A:C,3,0)</f>
        <v>MERCADO LIVRE</v>
      </c>
      <c r="E6716" s="26" t="str">
        <f>CONCATENATE(Tabela1[[#This Row],[CIDADE]],",",Tabela1[[#This Row],[UF]])</f>
        <v>MERCADO LIVRE,MERCADO LIVRE</v>
      </c>
      <c r="F6716" s="12">
        <v>46230</v>
      </c>
      <c r="G6716" s="14">
        <v>0</v>
      </c>
      <c r="H6716" s="13">
        <v>127.2</v>
      </c>
      <c r="I6716" s="7">
        <f>Tabela1[[#This Row],[Valor total]]-Tabela1[[#This Row],[Valor custo]]</f>
        <v>127.2</v>
      </c>
      <c r="J6716" s="27">
        <f>Tabela1[[#This Row],[MARGEM BRUTA]]/Tabela1[[#This Row],[Valor total]]</f>
        <v>1</v>
      </c>
      <c r="K6716" s="26" t="str">
        <f>VLOOKUP(Tabela1[[#This Row],[Cliente]],'BASE DE CLIENTES'!A:D,4,0)</f>
        <v>OUTROS RAMOS</v>
      </c>
      <c r="L6716" s="26" t="str">
        <f>VLOOKUP(Tabela1[[#This Row],[Cliente]],'BASE DE CLIENTES'!A:E,5,0)</f>
        <v>MERCADO LIVRE</v>
      </c>
    </row>
    <row r="6717" spans="2:12" x14ac:dyDescent="0.3">
      <c r="B6717" t="s">
        <v>1169</v>
      </c>
      <c r="C6717" s="26" t="str">
        <f>VLOOKUP(Tabela1[[#This Row],[Cliente]],'BASE DE CLIENTES'!A:E,2,0)</f>
        <v>Brasília</v>
      </c>
      <c r="D6717" s="26" t="str">
        <f>VLOOKUP(Tabela1[[#This Row],[Cliente]],'BASE DE CLIENTES'!A:C,3,0)</f>
        <v>DF</v>
      </c>
      <c r="E6717" s="26" t="str">
        <f>CONCATENATE(Tabela1[[#This Row],[CIDADE]],",",Tabela1[[#This Row],[UF]])</f>
        <v>Brasília,DF</v>
      </c>
      <c r="F6717" s="12">
        <v>46230</v>
      </c>
      <c r="G6717" s="14">
        <v>48</v>
      </c>
      <c r="H6717" s="13">
        <v>85</v>
      </c>
      <c r="I6717" s="7">
        <f>Tabela1[[#This Row],[Valor total]]-Tabela1[[#This Row],[Valor custo]]</f>
        <v>37</v>
      </c>
      <c r="J6717" s="27">
        <f>Tabela1[[#This Row],[MARGEM BRUTA]]/Tabela1[[#This Row],[Valor total]]</f>
        <v>0.43529411764705883</v>
      </c>
      <c r="K6717" s="26" t="str">
        <f>VLOOKUP(Tabela1[[#This Row],[Cliente]],'BASE DE CLIENTES'!A:D,4,0)</f>
        <v>CLIENTE NOVO S/ IDENT.</v>
      </c>
      <c r="L6717" s="26" t="str">
        <f>VLOOKUP(Tabela1[[#This Row],[Cliente]],'BASE DE CLIENTES'!A:E,5,0)</f>
        <v>26 DE SETEMBRO</v>
      </c>
    </row>
    <row r="6718" spans="2:12" x14ac:dyDescent="0.3">
      <c r="B6718" t="s">
        <v>38</v>
      </c>
      <c r="C6718" s="26" t="str">
        <f>VLOOKUP(Tabela1[[#This Row],[Cliente]],'BASE DE CLIENTES'!A:E,2,0)</f>
        <v>Brasília</v>
      </c>
      <c r="D6718" s="26" t="str">
        <f>VLOOKUP(Tabela1[[#This Row],[Cliente]],'BASE DE CLIENTES'!A:C,3,0)</f>
        <v>DF</v>
      </c>
      <c r="E6718" s="26" t="str">
        <f>CONCATENATE(Tabela1[[#This Row],[CIDADE]],",",Tabela1[[#This Row],[UF]])</f>
        <v>Brasília,DF</v>
      </c>
      <c r="F6718" s="12">
        <v>46230</v>
      </c>
      <c r="G6718" s="14">
        <v>7275.4</v>
      </c>
      <c r="H6718" s="13">
        <v>11810</v>
      </c>
      <c r="I6718" s="7">
        <f>Tabela1[[#This Row],[Valor total]]-Tabela1[[#This Row],[Valor custo]]</f>
        <v>4534.6000000000004</v>
      </c>
      <c r="J6718" s="27">
        <f>Tabela1[[#This Row],[MARGEM BRUTA]]/Tabela1[[#This Row],[Valor total]]</f>
        <v>0.38396274343776465</v>
      </c>
      <c r="K6718" s="26" t="str">
        <f>VLOOKUP(Tabela1[[#This Row],[Cliente]],'BASE DE CLIENTES'!A:D,4,0)</f>
        <v>EMPRESA SEM MAQUINA</v>
      </c>
      <c r="L6718" s="26" t="str">
        <f>VLOOKUP(Tabela1[[#This Row],[Cliente]],'BASE DE CLIENTES'!A:E,5,0)</f>
        <v>PONTE ALTA NORTE (GAMA)</v>
      </c>
    </row>
    <row r="6719" spans="2:12" x14ac:dyDescent="0.3">
      <c r="B6719" t="s">
        <v>161</v>
      </c>
      <c r="C6719" s="26" t="str">
        <f>VLOOKUP(Tabela1[[#This Row],[Cliente]],'BASE DE CLIENTES'!A:E,2,0)</f>
        <v>Brasília</v>
      </c>
      <c r="D6719" s="26" t="str">
        <f>VLOOKUP(Tabela1[[#This Row],[Cliente]],'BASE DE CLIENTES'!A:C,3,0)</f>
        <v>DF</v>
      </c>
      <c r="E6719" s="26" t="str">
        <f>CONCATENATE(Tabela1[[#This Row],[CIDADE]],",",Tabela1[[#This Row],[UF]])</f>
        <v>Brasília,DF</v>
      </c>
      <c r="F6719" s="12">
        <v>46230</v>
      </c>
      <c r="G6719" s="14">
        <v>9500</v>
      </c>
      <c r="H6719" s="13">
        <v>14250</v>
      </c>
      <c r="I6719" s="7">
        <f>Tabela1[[#This Row],[Valor total]]-Tabela1[[#This Row],[Valor custo]]</f>
        <v>4750</v>
      </c>
      <c r="J6719" s="27">
        <f>Tabela1[[#This Row],[MARGEM BRUTA]]/Tabela1[[#This Row],[Valor total]]</f>
        <v>0.33333333333333331</v>
      </c>
      <c r="K6719" s="26" t="str">
        <f>VLOOKUP(Tabela1[[#This Row],[Cliente]],'BASE DE CLIENTES'!A:D,4,0)</f>
        <v>EMPRESA COM MAQUINA</v>
      </c>
      <c r="L6719" s="26" t="str">
        <f>VLOOKUP(Tabela1[[#This Row],[Cliente]],'BASE DE CLIENTES'!A:E,5,0)</f>
        <v>RIACHO FUNDO II</v>
      </c>
    </row>
    <row r="6720" spans="2:12" x14ac:dyDescent="0.3">
      <c r="B6720" t="s">
        <v>19</v>
      </c>
      <c r="C6720" s="26" t="str">
        <f>VLOOKUP(Tabela1[[#This Row],[Cliente]],'BASE DE CLIENTES'!A:E,2,0)</f>
        <v>Águas Lindas de Goiás</v>
      </c>
      <c r="D6720" s="26" t="str">
        <f>VLOOKUP(Tabela1[[#This Row],[Cliente]],'BASE DE CLIENTES'!A:C,3,0)</f>
        <v>GO</v>
      </c>
      <c r="E6720" s="26" t="str">
        <f>CONCATENATE(Tabela1[[#This Row],[CIDADE]],",",Tabela1[[#This Row],[UF]])</f>
        <v>Águas Lindas de Goiás,GO</v>
      </c>
      <c r="F6720" s="12">
        <v>46230</v>
      </c>
      <c r="G6720" s="14">
        <v>20</v>
      </c>
      <c r="H6720" s="13">
        <v>40</v>
      </c>
      <c r="I6720" s="7">
        <f>Tabela1[[#This Row],[Valor total]]-Tabela1[[#This Row],[Valor custo]]</f>
        <v>20</v>
      </c>
      <c r="J6720" s="27">
        <f>Tabela1[[#This Row],[MARGEM BRUTA]]/Tabela1[[#This Row],[Valor total]]</f>
        <v>0.5</v>
      </c>
      <c r="K6720" s="26" t="str">
        <f>VLOOKUP(Tabela1[[#This Row],[Cliente]],'BASE DE CLIENTES'!A:D,4,0)</f>
        <v>SERRALHEIRO</v>
      </c>
      <c r="L6720" s="26" t="str">
        <f>VLOOKUP(Tabela1[[#This Row],[Cliente]],'BASE DE CLIENTES'!A:E,5,0)</f>
        <v>Águas Lindas de Goiás</v>
      </c>
    </row>
    <row r="6721" spans="2:12" x14ac:dyDescent="0.3">
      <c r="B6721" t="s">
        <v>19</v>
      </c>
      <c r="C6721" s="26" t="str">
        <f>VLOOKUP(Tabela1[[#This Row],[Cliente]],'BASE DE CLIENTES'!A:E,2,0)</f>
        <v>Águas Lindas de Goiás</v>
      </c>
      <c r="D6721" s="26" t="str">
        <f>VLOOKUP(Tabela1[[#This Row],[Cliente]],'BASE DE CLIENTES'!A:C,3,0)</f>
        <v>GO</v>
      </c>
      <c r="E6721" s="26" t="str">
        <f>CONCATENATE(Tabela1[[#This Row],[CIDADE]],",",Tabela1[[#This Row],[UF]])</f>
        <v>Águas Lindas de Goiás,GO</v>
      </c>
      <c r="F6721" s="12">
        <v>46230</v>
      </c>
      <c r="G6721" s="14">
        <v>890</v>
      </c>
      <c r="H6721" s="13">
        <v>1215</v>
      </c>
      <c r="I6721" s="7">
        <f>Tabela1[[#This Row],[Valor total]]-Tabela1[[#This Row],[Valor custo]]</f>
        <v>325</v>
      </c>
      <c r="J6721" s="27">
        <f>Tabela1[[#This Row],[MARGEM BRUTA]]/Tabela1[[#This Row],[Valor total]]</f>
        <v>0.26748971193415638</v>
      </c>
      <c r="K6721" s="26" t="str">
        <f>VLOOKUP(Tabela1[[#This Row],[Cliente]],'BASE DE CLIENTES'!A:D,4,0)</f>
        <v>SERRALHEIRO</v>
      </c>
      <c r="L6721" s="26" t="str">
        <f>VLOOKUP(Tabela1[[#This Row],[Cliente]],'BASE DE CLIENTES'!A:E,5,0)</f>
        <v>Águas Lindas de Goiás</v>
      </c>
    </row>
    <row r="6722" spans="2:12" x14ac:dyDescent="0.3">
      <c r="B6722" t="s">
        <v>109</v>
      </c>
      <c r="C6722" s="26" t="str">
        <f>VLOOKUP(Tabela1[[#This Row],[Cliente]],'BASE DE CLIENTES'!A:E,2,0)</f>
        <v>Águas Lindas de Goiás</v>
      </c>
      <c r="D6722" s="26" t="str">
        <f>VLOOKUP(Tabela1[[#This Row],[Cliente]],'BASE DE CLIENTES'!A:C,3,0)</f>
        <v>GO</v>
      </c>
      <c r="E6722" s="26" t="str">
        <f>CONCATENATE(Tabela1[[#This Row],[CIDADE]],",",Tabela1[[#This Row],[UF]])</f>
        <v>Águas Lindas de Goiás,GO</v>
      </c>
      <c r="F6722" s="12">
        <v>46230</v>
      </c>
      <c r="G6722" s="14">
        <v>45.6</v>
      </c>
      <c r="H6722" s="13">
        <v>180</v>
      </c>
      <c r="I6722" s="7">
        <f>Tabela1[[#This Row],[Valor total]]-Tabela1[[#This Row],[Valor custo]]</f>
        <v>134.4</v>
      </c>
      <c r="J6722" s="27">
        <f>Tabela1[[#This Row],[MARGEM BRUTA]]/Tabela1[[#This Row],[Valor total]]</f>
        <v>0.7466666666666667</v>
      </c>
      <c r="K6722" s="26" t="str">
        <f>VLOOKUP(Tabela1[[#This Row],[Cliente]],'BASE DE CLIENTES'!A:D,4,0)</f>
        <v>SERRALHEIRO</v>
      </c>
      <c r="L6722" s="26" t="str">
        <f>VLOOKUP(Tabela1[[#This Row],[Cliente]],'BASE DE CLIENTES'!A:E,5,0)</f>
        <v>Águas Lindas de Goiás</v>
      </c>
    </row>
    <row r="6723" spans="2:12" x14ac:dyDescent="0.3">
      <c r="B6723" t="s">
        <v>117</v>
      </c>
      <c r="C6723" s="26" t="str">
        <f>VLOOKUP(Tabela1[[#This Row],[Cliente]],'BASE DE CLIENTES'!A:E,2,0)</f>
        <v>Brasília</v>
      </c>
      <c r="D6723" s="26" t="str">
        <f>VLOOKUP(Tabela1[[#This Row],[Cliente]],'BASE DE CLIENTES'!A:C,3,0)</f>
        <v>DF</v>
      </c>
      <c r="E6723" s="26" t="str">
        <f>CONCATENATE(Tabela1[[#This Row],[CIDADE]],",",Tabela1[[#This Row],[UF]])</f>
        <v>Brasília,DF</v>
      </c>
      <c r="F6723" s="12">
        <v>46230</v>
      </c>
      <c r="G6723" s="14">
        <v>21.35</v>
      </c>
      <c r="H6723" s="13">
        <v>31.5</v>
      </c>
      <c r="I6723" s="7">
        <f>Tabela1[[#This Row],[Valor total]]-Tabela1[[#This Row],[Valor custo]]</f>
        <v>10.149999999999999</v>
      </c>
      <c r="J6723" s="27">
        <f>Tabela1[[#This Row],[MARGEM BRUTA]]/Tabela1[[#This Row],[Valor total]]</f>
        <v>0.32222222222222219</v>
      </c>
      <c r="K6723" s="26" t="str">
        <f>VLOOKUP(Tabela1[[#This Row],[Cliente]],'BASE DE CLIENTES'!A:D,4,0)</f>
        <v>EMPRESA COM MAQUINA</v>
      </c>
      <c r="L6723" s="26" t="str">
        <f>VLOOKUP(Tabela1[[#This Row],[Cliente]],'BASE DE CLIENTES'!A:E,5,0)</f>
        <v>SETOR HABITACIONAL ARNIQUEIRA (AGUAS CLARAS)</v>
      </c>
    </row>
    <row r="6724" spans="2:12" x14ac:dyDescent="0.3">
      <c r="B6724" t="s">
        <v>80</v>
      </c>
      <c r="C6724" s="26" t="str">
        <f>VLOOKUP(Tabela1[[#This Row],[Cliente]],'BASE DE CLIENTES'!A:E,2,0)</f>
        <v>Brasília</v>
      </c>
      <c r="D6724" s="26" t="str">
        <f>VLOOKUP(Tabela1[[#This Row],[Cliente]],'BASE DE CLIENTES'!A:C,3,0)</f>
        <v>DF</v>
      </c>
      <c r="E6724" s="26" t="str">
        <f>CONCATENATE(Tabela1[[#This Row],[CIDADE]],",",Tabela1[[#This Row],[UF]])</f>
        <v>Brasília,DF</v>
      </c>
      <c r="F6724" s="12">
        <v>46230</v>
      </c>
      <c r="G6724" s="14">
        <v>1260</v>
      </c>
      <c r="H6724" s="13">
        <v>1870</v>
      </c>
      <c r="I6724" s="7">
        <f>Tabela1[[#This Row],[Valor total]]-Tabela1[[#This Row],[Valor custo]]</f>
        <v>610</v>
      </c>
      <c r="J6724" s="27">
        <f>Tabela1[[#This Row],[MARGEM BRUTA]]/Tabela1[[#This Row],[Valor total]]</f>
        <v>0.32620320855614976</v>
      </c>
      <c r="K6724" s="26" t="str">
        <f>VLOOKUP(Tabela1[[#This Row],[Cliente]],'BASE DE CLIENTES'!A:D,4,0)</f>
        <v>EMPRESA SEM MAQUINA</v>
      </c>
      <c r="L6724" s="26" t="str">
        <f>VLOOKUP(Tabela1[[#This Row],[Cliente]],'BASE DE CLIENTES'!A:E,5,0)</f>
        <v>JOKEY</v>
      </c>
    </row>
    <row r="6725" spans="2:12" x14ac:dyDescent="0.3">
      <c r="B6725" t="s">
        <v>1223</v>
      </c>
      <c r="C6725" s="26" t="str">
        <f>VLOOKUP(Tabela1[[#This Row],[Cliente]],'BASE DE CLIENTES'!A:E,2,0)</f>
        <v>MERCADO LIVRE</v>
      </c>
      <c r="D6725" s="26" t="str">
        <f>VLOOKUP(Tabela1[[#This Row],[Cliente]],'BASE DE CLIENTES'!A:C,3,0)</f>
        <v>MERCADO LIVRE</v>
      </c>
      <c r="E6725" s="26" t="str">
        <f>CONCATENATE(Tabela1[[#This Row],[CIDADE]],",",Tabela1[[#This Row],[UF]])</f>
        <v>MERCADO LIVRE,MERCADO LIVRE</v>
      </c>
      <c r="F6725" s="12">
        <v>46230</v>
      </c>
      <c r="G6725" s="14">
        <v>25</v>
      </c>
      <c r="H6725" s="13">
        <v>172.33</v>
      </c>
      <c r="I6725" s="7">
        <f>Tabela1[[#This Row],[Valor total]]-Tabela1[[#This Row],[Valor custo]]</f>
        <v>147.33000000000001</v>
      </c>
      <c r="J6725" s="27">
        <f>Tabela1[[#This Row],[MARGEM BRUTA]]/Tabela1[[#This Row],[Valor total]]</f>
        <v>0.85492949573492716</v>
      </c>
      <c r="K6725" s="26" t="str">
        <f>VLOOKUP(Tabela1[[#This Row],[Cliente]],'BASE DE CLIENTES'!A:D,4,0)</f>
        <v>OUTROS RAMOS</v>
      </c>
      <c r="L6725" s="26" t="str">
        <f>VLOOKUP(Tabela1[[#This Row],[Cliente]],'BASE DE CLIENTES'!A:E,5,0)</f>
        <v>MERCADO LIVRE</v>
      </c>
    </row>
    <row r="6726" spans="2:12" x14ac:dyDescent="0.3">
      <c r="B6726" t="s">
        <v>1223</v>
      </c>
      <c r="C6726" s="26" t="str">
        <f>VLOOKUP(Tabela1[[#This Row],[Cliente]],'BASE DE CLIENTES'!A:E,2,0)</f>
        <v>MERCADO LIVRE</v>
      </c>
      <c r="D6726" s="26" t="str">
        <f>VLOOKUP(Tabela1[[#This Row],[Cliente]],'BASE DE CLIENTES'!A:C,3,0)</f>
        <v>MERCADO LIVRE</v>
      </c>
      <c r="E6726" s="26" t="str">
        <f>CONCATENATE(Tabela1[[#This Row],[CIDADE]],",",Tabela1[[#This Row],[UF]])</f>
        <v>MERCADO LIVRE,MERCADO LIVRE</v>
      </c>
      <c r="F6726" s="12">
        <v>46230</v>
      </c>
      <c r="G6726" s="14">
        <v>56.28</v>
      </c>
      <c r="H6726" s="13">
        <v>198.32</v>
      </c>
      <c r="I6726" s="7">
        <f>Tabela1[[#This Row],[Valor total]]-Tabela1[[#This Row],[Valor custo]]</f>
        <v>142.04</v>
      </c>
      <c r="J6726" s="27">
        <f>Tabela1[[#This Row],[MARGEM BRUTA]]/Tabela1[[#This Row],[Valor total]]</f>
        <v>0.71621621621621623</v>
      </c>
      <c r="K6726" s="26" t="str">
        <f>VLOOKUP(Tabela1[[#This Row],[Cliente]],'BASE DE CLIENTES'!A:D,4,0)</f>
        <v>OUTROS RAMOS</v>
      </c>
      <c r="L6726" s="26" t="str">
        <f>VLOOKUP(Tabela1[[#This Row],[Cliente]],'BASE DE CLIENTES'!A:E,5,0)</f>
        <v>MERCADO LIVRE</v>
      </c>
    </row>
    <row r="6727" spans="2:12" x14ac:dyDescent="0.3">
      <c r="B6727" t="s">
        <v>1223</v>
      </c>
      <c r="C6727" s="26" t="str">
        <f>VLOOKUP(Tabela1[[#This Row],[Cliente]],'BASE DE CLIENTES'!A:E,2,0)</f>
        <v>MERCADO LIVRE</v>
      </c>
      <c r="D6727" s="26" t="str">
        <f>VLOOKUP(Tabela1[[#This Row],[Cliente]],'BASE DE CLIENTES'!A:C,3,0)</f>
        <v>MERCADO LIVRE</v>
      </c>
      <c r="E6727" s="26" t="str">
        <f>CONCATENATE(Tabela1[[#This Row],[CIDADE]],",",Tabela1[[#This Row],[UF]])</f>
        <v>MERCADO LIVRE,MERCADO LIVRE</v>
      </c>
      <c r="F6727" s="12">
        <v>46230</v>
      </c>
      <c r="G6727" s="14">
        <v>0</v>
      </c>
      <c r="H6727" s="13">
        <v>42.4</v>
      </c>
      <c r="I6727" s="7">
        <f>Tabela1[[#This Row],[Valor total]]-Tabela1[[#This Row],[Valor custo]]</f>
        <v>42.4</v>
      </c>
      <c r="J6727" s="27">
        <f>Tabela1[[#This Row],[MARGEM BRUTA]]/Tabela1[[#This Row],[Valor total]]</f>
        <v>1</v>
      </c>
      <c r="K6727" s="26" t="str">
        <f>VLOOKUP(Tabela1[[#This Row],[Cliente]],'BASE DE CLIENTES'!A:D,4,0)</f>
        <v>OUTROS RAMOS</v>
      </c>
      <c r="L6727" s="26" t="str">
        <f>VLOOKUP(Tabela1[[#This Row],[Cliente]],'BASE DE CLIENTES'!A:E,5,0)</f>
        <v>MERCADO LIVRE</v>
      </c>
    </row>
    <row r="6728" spans="2:12" x14ac:dyDescent="0.3">
      <c r="B6728" t="s">
        <v>1223</v>
      </c>
      <c r="C6728" s="26" t="str">
        <f>VLOOKUP(Tabela1[[#This Row],[Cliente]],'BASE DE CLIENTES'!A:E,2,0)</f>
        <v>MERCADO LIVRE</v>
      </c>
      <c r="D6728" s="26" t="str">
        <f>VLOOKUP(Tabela1[[#This Row],[Cliente]],'BASE DE CLIENTES'!A:C,3,0)</f>
        <v>MERCADO LIVRE</v>
      </c>
      <c r="E6728" s="26" t="str">
        <f>CONCATENATE(Tabela1[[#This Row],[CIDADE]],",",Tabela1[[#This Row],[UF]])</f>
        <v>MERCADO LIVRE,MERCADO LIVRE</v>
      </c>
      <c r="F6728" s="12">
        <v>46230</v>
      </c>
      <c r="G6728" s="14">
        <v>168.84</v>
      </c>
      <c r="H6728" s="13">
        <v>538.9</v>
      </c>
      <c r="I6728" s="7">
        <f>Tabela1[[#This Row],[Valor total]]-Tabela1[[#This Row],[Valor custo]]</f>
        <v>370.05999999999995</v>
      </c>
      <c r="J6728" s="27">
        <f>Tabela1[[#This Row],[MARGEM BRUTA]]/Tabela1[[#This Row],[Valor total]]</f>
        <v>0.68669511968825381</v>
      </c>
      <c r="K6728" s="26" t="str">
        <f>VLOOKUP(Tabela1[[#This Row],[Cliente]],'BASE DE CLIENTES'!A:D,4,0)</f>
        <v>OUTROS RAMOS</v>
      </c>
      <c r="L6728" s="26" t="str">
        <f>VLOOKUP(Tabela1[[#This Row],[Cliente]],'BASE DE CLIENTES'!A:E,5,0)</f>
        <v>MERCADO LIVRE</v>
      </c>
    </row>
    <row r="6729" spans="2:12" x14ac:dyDescent="0.3">
      <c r="B6729" t="s">
        <v>1223</v>
      </c>
      <c r="C6729" s="26" t="str">
        <f>VLOOKUP(Tabela1[[#This Row],[Cliente]],'BASE DE CLIENTES'!A:E,2,0)</f>
        <v>MERCADO LIVRE</v>
      </c>
      <c r="D6729" s="26" t="str">
        <f>VLOOKUP(Tabela1[[#This Row],[Cliente]],'BASE DE CLIENTES'!A:C,3,0)</f>
        <v>MERCADO LIVRE</v>
      </c>
      <c r="E6729" s="26" t="str">
        <f>CONCATENATE(Tabela1[[#This Row],[CIDADE]],",",Tabela1[[#This Row],[UF]])</f>
        <v>MERCADO LIVRE,MERCADO LIVRE</v>
      </c>
      <c r="F6729" s="12">
        <v>46230</v>
      </c>
      <c r="G6729" s="14">
        <v>56.28</v>
      </c>
      <c r="H6729" s="13">
        <v>198.32</v>
      </c>
      <c r="I6729" s="7">
        <f>Tabela1[[#This Row],[Valor total]]-Tabela1[[#This Row],[Valor custo]]</f>
        <v>142.04</v>
      </c>
      <c r="J6729" s="27">
        <f>Tabela1[[#This Row],[MARGEM BRUTA]]/Tabela1[[#This Row],[Valor total]]</f>
        <v>0.71621621621621623</v>
      </c>
      <c r="K6729" s="26" t="str">
        <f>VLOOKUP(Tabela1[[#This Row],[Cliente]],'BASE DE CLIENTES'!A:D,4,0)</f>
        <v>OUTROS RAMOS</v>
      </c>
      <c r="L6729" s="26" t="str">
        <f>VLOOKUP(Tabela1[[#This Row],[Cliente]],'BASE DE CLIENTES'!A:E,5,0)</f>
        <v>MERCADO LIVRE</v>
      </c>
    </row>
    <row r="6730" spans="2:12" x14ac:dyDescent="0.3">
      <c r="B6730" t="s">
        <v>1223</v>
      </c>
      <c r="C6730" s="26" t="str">
        <f>VLOOKUP(Tabela1[[#This Row],[Cliente]],'BASE DE CLIENTES'!A:E,2,0)</f>
        <v>MERCADO LIVRE</v>
      </c>
      <c r="D6730" s="26" t="str">
        <f>VLOOKUP(Tabela1[[#This Row],[Cliente]],'BASE DE CLIENTES'!A:C,3,0)</f>
        <v>MERCADO LIVRE</v>
      </c>
      <c r="E6730" s="26" t="str">
        <f>CONCATENATE(Tabela1[[#This Row],[CIDADE]],",",Tabela1[[#This Row],[UF]])</f>
        <v>MERCADO LIVRE,MERCADO LIVRE</v>
      </c>
      <c r="F6730" s="12">
        <v>46230</v>
      </c>
      <c r="G6730" s="14">
        <v>56.28</v>
      </c>
      <c r="H6730" s="13">
        <v>198.32</v>
      </c>
      <c r="I6730" s="7">
        <f>Tabela1[[#This Row],[Valor total]]-Tabela1[[#This Row],[Valor custo]]</f>
        <v>142.04</v>
      </c>
      <c r="J6730" s="27">
        <f>Tabela1[[#This Row],[MARGEM BRUTA]]/Tabela1[[#This Row],[Valor total]]</f>
        <v>0.71621621621621623</v>
      </c>
      <c r="K6730" s="26" t="str">
        <f>VLOOKUP(Tabela1[[#This Row],[Cliente]],'BASE DE CLIENTES'!A:D,4,0)</f>
        <v>OUTROS RAMOS</v>
      </c>
      <c r="L6730" s="26" t="str">
        <f>VLOOKUP(Tabela1[[#This Row],[Cliente]],'BASE DE CLIENTES'!A:E,5,0)</f>
        <v>MERCADO LIVRE</v>
      </c>
    </row>
    <row r="6731" spans="2:12" x14ac:dyDescent="0.3">
      <c r="B6731" t="s">
        <v>1223</v>
      </c>
      <c r="C6731" s="26" t="str">
        <f>VLOOKUP(Tabela1[[#This Row],[Cliente]],'BASE DE CLIENTES'!A:E,2,0)</f>
        <v>MERCADO LIVRE</v>
      </c>
      <c r="D6731" s="26" t="str">
        <f>VLOOKUP(Tabela1[[#This Row],[Cliente]],'BASE DE CLIENTES'!A:C,3,0)</f>
        <v>MERCADO LIVRE</v>
      </c>
      <c r="E6731" s="26" t="str">
        <f>CONCATENATE(Tabela1[[#This Row],[CIDADE]],",",Tabela1[[#This Row],[UF]])</f>
        <v>MERCADO LIVRE,MERCADO LIVRE</v>
      </c>
      <c r="F6731" s="12">
        <v>46230</v>
      </c>
      <c r="G6731" s="14">
        <v>25</v>
      </c>
      <c r="H6731" s="13">
        <v>185.03</v>
      </c>
      <c r="I6731" s="7">
        <f>Tabela1[[#This Row],[Valor total]]-Tabela1[[#This Row],[Valor custo]]</f>
        <v>160.03</v>
      </c>
      <c r="J6731" s="27">
        <f>Tabela1[[#This Row],[MARGEM BRUTA]]/Tabela1[[#This Row],[Valor total]]</f>
        <v>0.86488677511754852</v>
      </c>
      <c r="K6731" s="26" t="str">
        <f>VLOOKUP(Tabela1[[#This Row],[Cliente]],'BASE DE CLIENTES'!A:D,4,0)</f>
        <v>OUTROS RAMOS</v>
      </c>
      <c r="L6731" s="26" t="str">
        <f>VLOOKUP(Tabela1[[#This Row],[Cliente]],'BASE DE CLIENTES'!A:E,5,0)</f>
        <v>MERCADO LIVRE</v>
      </c>
    </row>
    <row r="6732" spans="2:12" x14ac:dyDescent="0.3">
      <c r="B6732" t="s">
        <v>23</v>
      </c>
      <c r="C6732" s="26" t="str">
        <f>VLOOKUP(Tabela1[[#This Row],[Cliente]],'BASE DE CLIENTES'!A:E,2,0)</f>
        <v>Brasília</v>
      </c>
      <c r="D6732" s="26" t="str">
        <f>VLOOKUP(Tabela1[[#This Row],[Cliente]],'BASE DE CLIENTES'!A:C,3,0)</f>
        <v>DF</v>
      </c>
      <c r="E6732" s="26" t="str">
        <f>CONCATENATE(Tabela1[[#This Row],[CIDADE]],",",Tabela1[[#This Row],[UF]])</f>
        <v>Brasília,DF</v>
      </c>
      <c r="F6732" s="12">
        <v>46230</v>
      </c>
      <c r="G6732" s="14">
        <v>1140</v>
      </c>
      <c r="H6732" s="13">
        <v>1650</v>
      </c>
      <c r="I6732" s="7">
        <f>Tabela1[[#This Row],[Valor total]]-Tabela1[[#This Row],[Valor custo]]</f>
        <v>510</v>
      </c>
      <c r="J6732" s="27">
        <f>Tabela1[[#This Row],[MARGEM BRUTA]]/Tabela1[[#This Row],[Valor total]]</f>
        <v>0.30909090909090908</v>
      </c>
      <c r="K6732" s="26" t="str">
        <f>VLOOKUP(Tabela1[[#This Row],[Cliente]],'BASE DE CLIENTES'!A:D,4,0)</f>
        <v>EMPRESA SEM MAQUINA</v>
      </c>
      <c r="L6732" s="26" t="str">
        <f>VLOOKUP(Tabela1[[#This Row],[Cliente]],'BASE DE CLIENTES'!A:E,5,0)</f>
        <v>SETOR INDUSTRIAL (TAGUATINGA)</v>
      </c>
    </row>
    <row r="6733" spans="2:12" x14ac:dyDescent="0.3">
      <c r="B6733" t="s">
        <v>68</v>
      </c>
      <c r="C6733" s="26" t="str">
        <f>VLOOKUP(Tabela1[[#This Row],[Cliente]],'BASE DE CLIENTES'!A:E,2,0)</f>
        <v>Brasília</v>
      </c>
      <c r="D6733" s="26" t="str">
        <f>VLOOKUP(Tabela1[[#This Row],[Cliente]],'BASE DE CLIENTES'!A:C,3,0)</f>
        <v>DF</v>
      </c>
      <c r="E6733" s="26" t="str">
        <f>CONCATENATE(Tabela1[[#This Row],[CIDADE]],",",Tabela1[[#This Row],[UF]])</f>
        <v>Brasília,DF</v>
      </c>
      <c r="F6733" s="12">
        <v>46227</v>
      </c>
      <c r="G6733" s="14">
        <v>493.79</v>
      </c>
      <c r="H6733" s="13">
        <v>75</v>
      </c>
      <c r="I6733" s="7">
        <f>Tabela1[[#This Row],[Valor total]]-Tabela1[[#This Row],[Valor custo]]</f>
        <v>-418.79</v>
      </c>
      <c r="J6733" s="27">
        <f>Tabela1[[#This Row],[MARGEM BRUTA]]/Tabela1[[#This Row],[Valor total]]</f>
        <v>-5.5838666666666672</v>
      </c>
      <c r="K6733" s="26" t="str">
        <f>VLOOKUP(Tabela1[[#This Row],[Cliente]],'BASE DE CLIENTES'!A:D,4,0)</f>
        <v>EMPRESA COM MAQUINA</v>
      </c>
      <c r="L6733" s="26" t="str">
        <f>VLOOKUP(Tabela1[[#This Row],[Cliente]],'BASE DE CLIENTES'!A:E,5,0)</f>
        <v>SAMAMBAIA SUL (SAMAMBAIA)</v>
      </c>
    </row>
    <row r="6734" spans="2:12" x14ac:dyDescent="0.3">
      <c r="B6734" t="s">
        <v>68</v>
      </c>
      <c r="C6734" s="26" t="str">
        <f>VLOOKUP(Tabela1[[#This Row],[Cliente]],'BASE DE CLIENTES'!A:E,2,0)</f>
        <v>Brasília</v>
      </c>
      <c r="D6734" s="26" t="str">
        <f>VLOOKUP(Tabela1[[#This Row],[Cliente]],'BASE DE CLIENTES'!A:C,3,0)</f>
        <v>DF</v>
      </c>
      <c r="E6734" s="26" t="str">
        <f>CONCATENATE(Tabela1[[#This Row],[CIDADE]],",",Tabela1[[#This Row],[UF]])</f>
        <v>Brasília,DF</v>
      </c>
      <c r="F6734" s="12">
        <v>46227</v>
      </c>
      <c r="G6734" s="14">
        <v>1140</v>
      </c>
      <c r="H6734" s="13">
        <v>1755</v>
      </c>
      <c r="I6734" s="7">
        <f>Tabela1[[#This Row],[Valor total]]-Tabela1[[#This Row],[Valor custo]]</f>
        <v>615</v>
      </c>
      <c r="J6734" s="27">
        <f>Tabela1[[#This Row],[MARGEM BRUTA]]/Tabela1[[#This Row],[Valor total]]</f>
        <v>0.3504273504273504</v>
      </c>
      <c r="K6734" s="26" t="str">
        <f>VLOOKUP(Tabela1[[#This Row],[Cliente]],'BASE DE CLIENTES'!A:D,4,0)</f>
        <v>EMPRESA COM MAQUINA</v>
      </c>
      <c r="L6734" s="26" t="str">
        <f>VLOOKUP(Tabela1[[#This Row],[Cliente]],'BASE DE CLIENTES'!A:E,5,0)</f>
        <v>SAMAMBAIA SUL (SAMAMBAIA)</v>
      </c>
    </row>
    <row r="6735" spans="2:12" x14ac:dyDescent="0.3">
      <c r="B6735" t="s">
        <v>23</v>
      </c>
      <c r="C6735" s="26" t="str">
        <f>VLOOKUP(Tabela1[[#This Row],[Cliente]],'BASE DE CLIENTES'!A:E,2,0)</f>
        <v>Brasília</v>
      </c>
      <c r="D6735" s="26" t="str">
        <f>VLOOKUP(Tabela1[[#This Row],[Cliente]],'BASE DE CLIENTES'!A:C,3,0)</f>
        <v>DF</v>
      </c>
      <c r="E6735" s="26" t="str">
        <f>CONCATENATE(Tabela1[[#This Row],[CIDADE]],",",Tabela1[[#This Row],[UF]])</f>
        <v>Brasília,DF</v>
      </c>
      <c r="F6735" s="12">
        <v>46226</v>
      </c>
      <c r="G6735" s="14">
        <v>380</v>
      </c>
      <c r="H6735" s="13">
        <v>550</v>
      </c>
      <c r="I6735" s="7">
        <f>Tabela1[[#This Row],[Valor total]]-Tabela1[[#This Row],[Valor custo]]</f>
        <v>170</v>
      </c>
      <c r="J6735" s="27">
        <f>Tabela1[[#This Row],[MARGEM BRUTA]]/Tabela1[[#This Row],[Valor total]]</f>
        <v>0.30909090909090908</v>
      </c>
      <c r="K6735" s="26" t="str">
        <f>VLOOKUP(Tabela1[[#This Row],[Cliente]],'BASE DE CLIENTES'!A:D,4,0)</f>
        <v>EMPRESA SEM MAQUINA</v>
      </c>
      <c r="L6735" s="26" t="str">
        <f>VLOOKUP(Tabela1[[#This Row],[Cliente]],'BASE DE CLIENTES'!A:E,5,0)</f>
        <v>SETOR INDUSTRIAL (TAGUATINGA)</v>
      </c>
    </row>
    <row r="6736" spans="2:12" x14ac:dyDescent="0.3">
      <c r="B6736" t="s">
        <v>23</v>
      </c>
      <c r="C6736" s="26" t="str">
        <f>VLOOKUP(Tabela1[[#This Row],[Cliente]],'BASE DE CLIENTES'!A:E,2,0)</f>
        <v>Brasília</v>
      </c>
      <c r="D6736" s="26" t="str">
        <f>VLOOKUP(Tabela1[[#This Row],[Cliente]],'BASE DE CLIENTES'!A:C,3,0)</f>
        <v>DF</v>
      </c>
      <c r="E6736" s="26" t="str">
        <f>CONCATENATE(Tabela1[[#This Row],[CIDADE]],",",Tabela1[[#This Row],[UF]])</f>
        <v>Brasília,DF</v>
      </c>
      <c r="F6736" s="12">
        <v>46227</v>
      </c>
      <c r="G6736" s="14">
        <v>380</v>
      </c>
      <c r="H6736" s="13">
        <v>550</v>
      </c>
      <c r="I6736" s="7">
        <f>Tabela1[[#This Row],[Valor total]]-Tabela1[[#This Row],[Valor custo]]</f>
        <v>170</v>
      </c>
      <c r="J6736" s="27">
        <f>Tabela1[[#This Row],[MARGEM BRUTA]]/Tabela1[[#This Row],[Valor total]]</f>
        <v>0.30909090909090908</v>
      </c>
      <c r="K6736" s="26" t="str">
        <f>VLOOKUP(Tabela1[[#This Row],[Cliente]],'BASE DE CLIENTES'!A:D,4,0)</f>
        <v>EMPRESA SEM MAQUINA</v>
      </c>
      <c r="L6736" s="26" t="str">
        <f>VLOOKUP(Tabela1[[#This Row],[Cliente]],'BASE DE CLIENTES'!A:E,5,0)</f>
        <v>SETOR INDUSTRIAL (TAGUATINGA)</v>
      </c>
    </row>
    <row r="6737" spans="2:12" x14ac:dyDescent="0.3">
      <c r="B6737" t="s">
        <v>92</v>
      </c>
      <c r="C6737" s="26" t="str">
        <f>VLOOKUP(Tabela1[[#This Row],[Cliente]],'BASE DE CLIENTES'!A:E,2,0)</f>
        <v>Brasília</v>
      </c>
      <c r="D6737" s="26" t="str">
        <f>VLOOKUP(Tabela1[[#This Row],[Cliente]],'BASE DE CLIENTES'!A:C,3,0)</f>
        <v>DF</v>
      </c>
      <c r="E6737" s="26" t="str">
        <f>CONCATENATE(Tabela1[[#This Row],[CIDADE]],",",Tabela1[[#This Row],[UF]])</f>
        <v>Brasília,DF</v>
      </c>
      <c r="F6737" s="12">
        <v>46227</v>
      </c>
      <c r="G6737" s="14">
        <v>380</v>
      </c>
      <c r="H6737" s="13">
        <v>615</v>
      </c>
      <c r="I6737" s="7">
        <f>Tabela1[[#This Row],[Valor total]]-Tabela1[[#This Row],[Valor custo]]</f>
        <v>235</v>
      </c>
      <c r="J6737" s="27">
        <f>Tabela1[[#This Row],[MARGEM BRUTA]]/Tabela1[[#This Row],[Valor total]]</f>
        <v>0.38211382113821141</v>
      </c>
      <c r="K6737" s="26" t="str">
        <f>VLOOKUP(Tabela1[[#This Row],[Cliente]],'BASE DE CLIENTES'!A:D,4,0)</f>
        <v>EMPRESA SEM MAQUINA</v>
      </c>
      <c r="L6737" s="26" t="str">
        <f>VLOOKUP(Tabela1[[#This Row],[Cliente]],'BASE DE CLIENTES'!A:E,5,0)</f>
        <v>SOBRADINHO</v>
      </c>
    </row>
    <row r="6738" spans="2:12" x14ac:dyDescent="0.3">
      <c r="B6738" t="s">
        <v>92</v>
      </c>
      <c r="C6738" s="26" t="str">
        <f>VLOOKUP(Tabela1[[#This Row],[Cliente]],'BASE DE CLIENTES'!A:E,2,0)</f>
        <v>Brasília</v>
      </c>
      <c r="D6738" s="26" t="str">
        <f>VLOOKUP(Tabela1[[#This Row],[Cliente]],'BASE DE CLIENTES'!A:C,3,0)</f>
        <v>DF</v>
      </c>
      <c r="E6738" s="26" t="str">
        <f>CONCATENATE(Tabela1[[#This Row],[CIDADE]],",",Tabela1[[#This Row],[UF]])</f>
        <v>Brasília,DF</v>
      </c>
      <c r="F6738" s="12">
        <v>46227</v>
      </c>
      <c r="G6738" s="14">
        <v>6.1</v>
      </c>
      <c r="H6738" s="13">
        <v>9</v>
      </c>
      <c r="I6738" s="7">
        <f>Tabela1[[#This Row],[Valor total]]-Tabela1[[#This Row],[Valor custo]]</f>
        <v>2.9000000000000004</v>
      </c>
      <c r="J6738" s="27">
        <f>Tabela1[[#This Row],[MARGEM BRUTA]]/Tabela1[[#This Row],[Valor total]]</f>
        <v>0.32222222222222224</v>
      </c>
      <c r="K6738" s="26" t="str">
        <f>VLOOKUP(Tabela1[[#This Row],[Cliente]],'BASE DE CLIENTES'!A:D,4,0)</f>
        <v>EMPRESA SEM MAQUINA</v>
      </c>
      <c r="L6738" s="26" t="str">
        <f>VLOOKUP(Tabela1[[#This Row],[Cliente]],'BASE DE CLIENTES'!A:E,5,0)</f>
        <v>SOBRADINHO</v>
      </c>
    </row>
    <row r="6739" spans="2:12" x14ac:dyDescent="0.3">
      <c r="B6739" t="s">
        <v>85</v>
      </c>
      <c r="C6739" s="26" t="str">
        <f>VLOOKUP(Tabela1[[#This Row],[Cliente]],'BASE DE CLIENTES'!A:E,2,0)</f>
        <v>Brasília</v>
      </c>
      <c r="D6739" s="26" t="str">
        <f>VLOOKUP(Tabela1[[#This Row],[Cliente]],'BASE DE CLIENTES'!A:C,3,0)</f>
        <v>DF</v>
      </c>
      <c r="E6739" s="26" t="str">
        <f>CONCATENATE(Tabela1[[#This Row],[CIDADE]],",",Tabela1[[#This Row],[UF]])</f>
        <v>Brasília,DF</v>
      </c>
      <c r="F6739" s="12">
        <v>46227</v>
      </c>
      <c r="G6739" s="14">
        <v>500</v>
      </c>
      <c r="H6739" s="13">
        <v>750</v>
      </c>
      <c r="I6739" s="7">
        <f>Tabela1[[#This Row],[Valor total]]-Tabela1[[#This Row],[Valor custo]]</f>
        <v>250</v>
      </c>
      <c r="J6739" s="27">
        <f>Tabela1[[#This Row],[MARGEM BRUTA]]/Tabela1[[#This Row],[Valor total]]</f>
        <v>0.33333333333333331</v>
      </c>
      <c r="K6739" s="26" t="str">
        <f>VLOOKUP(Tabela1[[#This Row],[Cliente]],'BASE DE CLIENTES'!A:D,4,0)</f>
        <v>SERRALHEIRO</v>
      </c>
      <c r="L6739" s="26" t="str">
        <f>VLOOKUP(Tabela1[[#This Row],[Cliente]],'BASE DE CLIENTES'!A:E,5,0)</f>
        <v>SAMAMBAIA NORTE (SAMAMBAIA)</v>
      </c>
    </row>
    <row r="6740" spans="2:12" x14ac:dyDescent="0.3">
      <c r="B6740" t="s">
        <v>111</v>
      </c>
      <c r="C6740" s="26" t="str">
        <f>VLOOKUP(Tabela1[[#This Row],[Cliente]],'BASE DE CLIENTES'!A:E,2,0)</f>
        <v>Brasília</v>
      </c>
      <c r="D6740" s="26" t="str">
        <f>VLOOKUP(Tabela1[[#This Row],[Cliente]],'BASE DE CLIENTES'!A:C,3,0)</f>
        <v>DF</v>
      </c>
      <c r="E6740" s="26" t="str">
        <f>CONCATENATE(Tabela1[[#This Row],[CIDADE]],",",Tabela1[[#This Row],[UF]])</f>
        <v>Brasília,DF</v>
      </c>
      <c r="F6740" s="12">
        <v>46227</v>
      </c>
      <c r="G6740" s="14">
        <v>419</v>
      </c>
      <c r="H6740" s="13">
        <v>655</v>
      </c>
      <c r="I6740" s="7">
        <f>Tabela1[[#This Row],[Valor total]]-Tabela1[[#This Row],[Valor custo]]</f>
        <v>236</v>
      </c>
      <c r="J6740" s="27">
        <f>Tabela1[[#This Row],[MARGEM BRUTA]]/Tabela1[[#This Row],[Valor total]]</f>
        <v>0.36030534351145038</v>
      </c>
      <c r="K6740" s="26" t="str">
        <f>VLOOKUP(Tabela1[[#This Row],[Cliente]],'BASE DE CLIENTES'!A:D,4,0)</f>
        <v>EMPRESA SEM MAQUINA</v>
      </c>
      <c r="L6740" s="26" t="str">
        <f>VLOOKUP(Tabela1[[#This Row],[Cliente]],'BASE DE CLIENTES'!A:E,5,0)</f>
        <v>TAGUATINGA SUL (TAGUATINGA)</v>
      </c>
    </row>
    <row r="6741" spans="2:12" x14ac:dyDescent="0.3">
      <c r="B6741" t="s">
        <v>190</v>
      </c>
      <c r="C6741" s="26" t="str">
        <f>VLOOKUP(Tabela1[[#This Row],[Cliente]],'BASE DE CLIENTES'!A:E,2,0)</f>
        <v>Brasília</v>
      </c>
      <c r="D6741" s="26" t="str">
        <f>VLOOKUP(Tabela1[[#This Row],[Cliente]],'BASE DE CLIENTES'!A:C,3,0)</f>
        <v>DF</v>
      </c>
      <c r="E6741" s="26" t="str">
        <f>CONCATENATE(Tabela1[[#This Row],[CIDADE]],",",Tabela1[[#This Row],[UF]])</f>
        <v>Brasília,DF</v>
      </c>
      <c r="F6741" s="12">
        <v>46227</v>
      </c>
      <c r="G6741" s="14">
        <v>290</v>
      </c>
      <c r="H6741" s="13">
        <v>550</v>
      </c>
      <c r="I6741" s="7">
        <f>Tabela1[[#This Row],[Valor total]]-Tabela1[[#This Row],[Valor custo]]</f>
        <v>260</v>
      </c>
      <c r="J6741" s="27">
        <f>Tabela1[[#This Row],[MARGEM BRUTA]]/Tabela1[[#This Row],[Valor total]]</f>
        <v>0.47272727272727272</v>
      </c>
      <c r="K6741" s="26" t="str">
        <f>VLOOKUP(Tabela1[[#This Row],[Cliente]],'BASE DE CLIENTES'!A:D,4,0)</f>
        <v>EMPRESA COM MAQUINA</v>
      </c>
      <c r="L6741" s="26" t="str">
        <f>VLOOKUP(Tabela1[[#This Row],[Cliente]],'BASE DE CLIENTES'!A:E,5,0)</f>
        <v>RIACHO FUNDO I</v>
      </c>
    </row>
    <row r="6742" spans="2:12" x14ac:dyDescent="0.3">
      <c r="B6742" t="s">
        <v>111</v>
      </c>
      <c r="C6742" s="26" t="str">
        <f>VLOOKUP(Tabela1[[#This Row],[Cliente]],'BASE DE CLIENTES'!A:E,2,0)</f>
        <v>Brasília</v>
      </c>
      <c r="D6742" s="26" t="str">
        <f>VLOOKUP(Tabela1[[#This Row],[Cliente]],'BASE DE CLIENTES'!A:C,3,0)</f>
        <v>DF</v>
      </c>
      <c r="E6742" s="26" t="str">
        <f>CONCATENATE(Tabela1[[#This Row],[CIDADE]],",",Tabela1[[#This Row],[UF]])</f>
        <v>Brasília,DF</v>
      </c>
      <c r="F6742" s="12">
        <v>46227</v>
      </c>
      <c r="G6742" s="14">
        <v>882.69</v>
      </c>
      <c r="H6742" s="13">
        <v>1360</v>
      </c>
      <c r="I6742" s="7">
        <f>Tabela1[[#This Row],[Valor total]]-Tabela1[[#This Row],[Valor custo]]</f>
        <v>477.30999999999995</v>
      </c>
      <c r="J6742" s="27">
        <f>Tabela1[[#This Row],[MARGEM BRUTA]]/Tabela1[[#This Row],[Valor total]]</f>
        <v>0.3509632352941176</v>
      </c>
      <c r="K6742" s="26" t="str">
        <f>VLOOKUP(Tabela1[[#This Row],[Cliente]],'BASE DE CLIENTES'!A:D,4,0)</f>
        <v>EMPRESA SEM MAQUINA</v>
      </c>
      <c r="L6742" s="26" t="str">
        <f>VLOOKUP(Tabela1[[#This Row],[Cliente]],'BASE DE CLIENTES'!A:E,5,0)</f>
        <v>TAGUATINGA SUL (TAGUATINGA)</v>
      </c>
    </row>
    <row r="6743" spans="2:12" x14ac:dyDescent="0.3">
      <c r="B6743" t="s">
        <v>1223</v>
      </c>
      <c r="C6743" s="26" t="str">
        <f>VLOOKUP(Tabela1[[#This Row],[Cliente]],'BASE DE CLIENTES'!A:E,2,0)</f>
        <v>MERCADO LIVRE</v>
      </c>
      <c r="D6743" s="26" t="str">
        <f>VLOOKUP(Tabela1[[#This Row],[Cliente]],'BASE DE CLIENTES'!A:C,3,0)</f>
        <v>MERCADO LIVRE</v>
      </c>
      <c r="E6743" s="26" t="str">
        <f>CONCATENATE(Tabela1[[#This Row],[CIDADE]],",",Tabela1[[#This Row],[UF]])</f>
        <v>MERCADO LIVRE,MERCADO LIVRE</v>
      </c>
      <c r="F6743" s="12">
        <v>46227</v>
      </c>
      <c r="G6743" s="14">
        <v>0</v>
      </c>
      <c r="H6743" s="13">
        <v>42.4</v>
      </c>
      <c r="I6743" s="7">
        <f>Tabela1[[#This Row],[Valor total]]-Tabela1[[#This Row],[Valor custo]]</f>
        <v>42.4</v>
      </c>
      <c r="J6743" s="27">
        <f>Tabela1[[#This Row],[MARGEM BRUTA]]/Tabela1[[#This Row],[Valor total]]</f>
        <v>1</v>
      </c>
      <c r="K6743" s="26" t="str">
        <f>VLOOKUP(Tabela1[[#This Row],[Cliente]],'BASE DE CLIENTES'!A:D,4,0)</f>
        <v>OUTROS RAMOS</v>
      </c>
      <c r="L6743" s="26" t="str">
        <f>VLOOKUP(Tabela1[[#This Row],[Cliente]],'BASE DE CLIENTES'!A:E,5,0)</f>
        <v>MERCADO LIVRE</v>
      </c>
    </row>
    <row r="6744" spans="2:12" x14ac:dyDescent="0.3">
      <c r="B6744" t="s">
        <v>52</v>
      </c>
      <c r="C6744" s="26" t="str">
        <f>VLOOKUP(Tabela1[[#This Row],[Cliente]],'BASE DE CLIENTES'!A:E,2,0)</f>
        <v>Brasília</v>
      </c>
      <c r="D6744" s="26" t="str">
        <f>VLOOKUP(Tabela1[[#This Row],[Cliente]],'BASE DE CLIENTES'!A:C,3,0)</f>
        <v>DF</v>
      </c>
      <c r="E6744" s="26" t="str">
        <f>CONCATENATE(Tabela1[[#This Row],[CIDADE]],",",Tabela1[[#This Row],[UF]])</f>
        <v>Brasília,DF</v>
      </c>
      <c r="F6744" s="12">
        <v>46225</v>
      </c>
      <c r="G6744" s="14">
        <v>760</v>
      </c>
      <c r="H6744" s="13">
        <v>1200</v>
      </c>
      <c r="I6744" s="7">
        <f>Tabela1[[#This Row],[Valor total]]-Tabela1[[#This Row],[Valor custo]]</f>
        <v>440</v>
      </c>
      <c r="J6744" s="27">
        <f>Tabela1[[#This Row],[MARGEM BRUTA]]/Tabela1[[#This Row],[Valor total]]</f>
        <v>0.36666666666666664</v>
      </c>
      <c r="K6744" s="26" t="str">
        <f>VLOOKUP(Tabela1[[#This Row],[Cliente]],'BASE DE CLIENTES'!A:D,4,0)</f>
        <v>SERRALHEIRO</v>
      </c>
      <c r="L6744" s="26" t="str">
        <f>VLOOKUP(Tabela1[[#This Row],[Cliente]],'BASE DE CLIENTES'!A:E,5,0)</f>
        <v>Ceilândia Sul (Ceilândia)</v>
      </c>
    </row>
    <row r="6745" spans="2:12" x14ac:dyDescent="0.3">
      <c r="B6745" t="s">
        <v>52</v>
      </c>
      <c r="C6745" s="26" t="str">
        <f>VLOOKUP(Tabela1[[#This Row],[Cliente]],'BASE DE CLIENTES'!A:E,2,0)</f>
        <v>Brasília</v>
      </c>
      <c r="D6745" s="26" t="str">
        <f>VLOOKUP(Tabela1[[#This Row],[Cliente]],'BASE DE CLIENTES'!A:C,3,0)</f>
        <v>DF</v>
      </c>
      <c r="E6745" s="26" t="str">
        <f>CONCATENATE(Tabela1[[#This Row],[CIDADE]],",",Tabela1[[#This Row],[UF]])</f>
        <v>Brasília,DF</v>
      </c>
      <c r="F6745" s="12">
        <v>46227</v>
      </c>
      <c r="G6745" s="14">
        <v>380</v>
      </c>
      <c r="H6745" s="13">
        <v>600</v>
      </c>
      <c r="I6745" s="7">
        <f>Tabela1[[#This Row],[Valor total]]-Tabela1[[#This Row],[Valor custo]]</f>
        <v>220</v>
      </c>
      <c r="J6745" s="27">
        <f>Tabela1[[#This Row],[MARGEM BRUTA]]/Tabela1[[#This Row],[Valor total]]</f>
        <v>0.36666666666666664</v>
      </c>
      <c r="K6745" s="26" t="str">
        <f>VLOOKUP(Tabela1[[#This Row],[Cliente]],'BASE DE CLIENTES'!A:D,4,0)</f>
        <v>SERRALHEIRO</v>
      </c>
      <c r="L6745" s="26" t="str">
        <f>VLOOKUP(Tabela1[[#This Row],[Cliente]],'BASE DE CLIENTES'!A:E,5,0)</f>
        <v>Ceilândia Sul (Ceilândia)</v>
      </c>
    </row>
    <row r="6746" spans="2:12" x14ac:dyDescent="0.3">
      <c r="B6746" t="s">
        <v>68</v>
      </c>
      <c r="C6746" s="26" t="str">
        <f>VLOOKUP(Tabela1[[#This Row],[Cliente]],'BASE DE CLIENTES'!A:E,2,0)</f>
        <v>Brasília</v>
      </c>
      <c r="D6746" s="26" t="str">
        <f>VLOOKUP(Tabela1[[#This Row],[Cliente]],'BASE DE CLIENTES'!A:C,3,0)</f>
        <v>DF</v>
      </c>
      <c r="E6746" s="26" t="str">
        <f>CONCATENATE(Tabela1[[#This Row],[CIDADE]],",",Tabela1[[#This Row],[UF]])</f>
        <v>Brasília,DF</v>
      </c>
      <c r="F6746" s="12">
        <v>46227</v>
      </c>
      <c r="G6746" s="14">
        <v>493.79</v>
      </c>
      <c r="H6746" s="13">
        <v>75</v>
      </c>
      <c r="I6746" s="7">
        <f>Tabela1[[#This Row],[Valor total]]-Tabela1[[#This Row],[Valor custo]]</f>
        <v>-418.79</v>
      </c>
      <c r="J6746" s="27">
        <f>Tabela1[[#This Row],[MARGEM BRUTA]]/Tabela1[[#This Row],[Valor total]]</f>
        <v>-5.5838666666666672</v>
      </c>
      <c r="K6746" s="26" t="str">
        <f>VLOOKUP(Tabela1[[#This Row],[Cliente]],'BASE DE CLIENTES'!A:D,4,0)</f>
        <v>EMPRESA COM MAQUINA</v>
      </c>
      <c r="L6746" s="26" t="str">
        <f>VLOOKUP(Tabela1[[#This Row],[Cliente]],'BASE DE CLIENTES'!A:E,5,0)</f>
        <v>SAMAMBAIA SUL (SAMAMBAIA)</v>
      </c>
    </row>
    <row r="6747" spans="2:12" x14ac:dyDescent="0.3">
      <c r="B6747" t="s">
        <v>1223</v>
      </c>
      <c r="C6747" s="26" t="str">
        <f>VLOOKUP(Tabela1[[#This Row],[Cliente]],'BASE DE CLIENTES'!A:E,2,0)</f>
        <v>MERCADO LIVRE</v>
      </c>
      <c r="D6747" s="26" t="str">
        <f>VLOOKUP(Tabela1[[#This Row],[Cliente]],'BASE DE CLIENTES'!A:C,3,0)</f>
        <v>MERCADO LIVRE</v>
      </c>
      <c r="E6747" s="26" t="str">
        <f>CONCATENATE(Tabela1[[#This Row],[CIDADE]],",",Tabela1[[#This Row],[UF]])</f>
        <v>MERCADO LIVRE,MERCADO LIVRE</v>
      </c>
      <c r="F6747" s="12">
        <v>46227</v>
      </c>
      <c r="G6747" s="14">
        <v>112.56</v>
      </c>
      <c r="H6747" s="13">
        <v>396.64</v>
      </c>
      <c r="I6747" s="7">
        <f>Tabela1[[#This Row],[Valor total]]-Tabela1[[#This Row],[Valor custo]]</f>
        <v>284.08</v>
      </c>
      <c r="J6747" s="27">
        <f>Tabela1[[#This Row],[MARGEM BRUTA]]/Tabela1[[#This Row],[Valor total]]</f>
        <v>0.71621621621621623</v>
      </c>
      <c r="K6747" s="26" t="str">
        <f>VLOOKUP(Tabela1[[#This Row],[Cliente]],'BASE DE CLIENTES'!A:D,4,0)</f>
        <v>OUTROS RAMOS</v>
      </c>
      <c r="L6747" s="26" t="str">
        <f>VLOOKUP(Tabela1[[#This Row],[Cliente]],'BASE DE CLIENTES'!A:E,5,0)</f>
        <v>MERCADO LIVRE</v>
      </c>
    </row>
    <row r="6748" spans="2:12" x14ac:dyDescent="0.3">
      <c r="B6748" t="s">
        <v>70</v>
      </c>
      <c r="C6748" s="26" t="str">
        <f>VLOOKUP(Tabela1[[#This Row],[Cliente]],'BASE DE CLIENTES'!A:E,2,0)</f>
        <v>Brasília</v>
      </c>
      <c r="D6748" s="26" t="str">
        <f>VLOOKUP(Tabela1[[#This Row],[Cliente]],'BASE DE CLIENTES'!A:C,3,0)</f>
        <v>DF</v>
      </c>
      <c r="E6748" s="26" t="str">
        <f>CONCATENATE(Tabela1[[#This Row],[CIDADE]],",",Tabela1[[#This Row],[UF]])</f>
        <v>Brasília,DF</v>
      </c>
      <c r="F6748" s="12">
        <v>46227</v>
      </c>
      <c r="G6748" s="14">
        <v>12.2</v>
      </c>
      <c r="H6748" s="13">
        <v>18</v>
      </c>
      <c r="I6748" s="7">
        <f>Tabela1[[#This Row],[Valor total]]-Tabela1[[#This Row],[Valor custo]]</f>
        <v>5.8000000000000007</v>
      </c>
      <c r="J6748" s="27">
        <f>Tabela1[[#This Row],[MARGEM BRUTA]]/Tabela1[[#This Row],[Valor total]]</f>
        <v>0.32222222222222224</v>
      </c>
      <c r="K6748" s="26" t="str">
        <f>VLOOKUP(Tabela1[[#This Row],[Cliente]],'BASE DE CLIENTES'!A:D,4,0)</f>
        <v>EMPRESA COM MAQUINA</v>
      </c>
      <c r="L6748" s="26" t="str">
        <f>VLOOKUP(Tabela1[[#This Row],[Cliente]],'BASE DE CLIENTES'!A:E,5,0)</f>
        <v>TAGUATINGA NORTE (TAGUATINGA)</v>
      </c>
    </row>
    <row r="6749" spans="2:12" x14ac:dyDescent="0.3">
      <c r="B6749" t="s">
        <v>70</v>
      </c>
      <c r="C6749" s="26" t="str">
        <f>VLOOKUP(Tabela1[[#This Row],[Cliente]],'BASE DE CLIENTES'!A:E,2,0)</f>
        <v>Brasília</v>
      </c>
      <c r="D6749" s="26" t="str">
        <f>VLOOKUP(Tabela1[[#This Row],[Cliente]],'BASE DE CLIENTES'!A:C,3,0)</f>
        <v>DF</v>
      </c>
      <c r="E6749" s="26" t="str">
        <f>CONCATENATE(Tabela1[[#This Row],[CIDADE]],",",Tabela1[[#This Row],[UF]])</f>
        <v>Brasília,DF</v>
      </c>
      <c r="F6749" s="12">
        <v>46227</v>
      </c>
      <c r="G6749" s="14">
        <v>843.69</v>
      </c>
      <c r="H6749" s="13">
        <v>1365</v>
      </c>
      <c r="I6749" s="7">
        <f>Tabela1[[#This Row],[Valor total]]-Tabela1[[#This Row],[Valor custo]]</f>
        <v>521.30999999999995</v>
      </c>
      <c r="J6749" s="27">
        <f>Tabela1[[#This Row],[MARGEM BRUTA]]/Tabela1[[#This Row],[Valor total]]</f>
        <v>0.38191208791208786</v>
      </c>
      <c r="K6749" s="26" t="str">
        <f>VLOOKUP(Tabela1[[#This Row],[Cliente]],'BASE DE CLIENTES'!A:D,4,0)</f>
        <v>EMPRESA COM MAQUINA</v>
      </c>
      <c r="L6749" s="26" t="str">
        <f>VLOOKUP(Tabela1[[#This Row],[Cliente]],'BASE DE CLIENTES'!A:E,5,0)</f>
        <v>TAGUATINGA NORTE (TAGUATINGA)</v>
      </c>
    </row>
    <row r="6750" spans="2:12" x14ac:dyDescent="0.3">
      <c r="B6750" t="s">
        <v>36</v>
      </c>
      <c r="C6750" s="26" t="str">
        <f>VLOOKUP(Tabela1[[#This Row],[Cliente]],'BASE DE CLIENTES'!A:E,2,0)</f>
        <v>Brasília</v>
      </c>
      <c r="D6750" s="26" t="str">
        <f>VLOOKUP(Tabela1[[#This Row],[Cliente]],'BASE DE CLIENTES'!A:C,3,0)</f>
        <v>DF</v>
      </c>
      <c r="E6750" s="26" t="str">
        <f>CONCATENATE(Tabela1[[#This Row],[CIDADE]],",",Tabela1[[#This Row],[UF]])</f>
        <v>Brasília,DF</v>
      </c>
      <c r="F6750" s="12">
        <v>46227</v>
      </c>
      <c r="G6750" s="14">
        <v>780.2</v>
      </c>
      <c r="H6750" s="13">
        <v>1620</v>
      </c>
      <c r="I6750" s="7">
        <f>Tabela1[[#This Row],[Valor total]]-Tabela1[[#This Row],[Valor custo]]</f>
        <v>839.8</v>
      </c>
      <c r="J6750" s="27">
        <f>Tabela1[[#This Row],[MARGEM BRUTA]]/Tabela1[[#This Row],[Valor total]]</f>
        <v>0.518395061728395</v>
      </c>
      <c r="K6750" s="26" t="str">
        <f>VLOOKUP(Tabela1[[#This Row],[Cliente]],'BASE DE CLIENTES'!A:D,4,0)</f>
        <v>SERRALHEIRO</v>
      </c>
      <c r="L6750" s="26" t="str">
        <f>VLOOKUP(Tabela1[[#This Row],[Cliente]],'BASE DE CLIENTES'!A:E,5,0)</f>
        <v>CEILANDIA SUL (CEILANDIA)</v>
      </c>
    </row>
    <row r="6751" spans="2:12" x14ac:dyDescent="0.3">
      <c r="B6751" t="s">
        <v>88</v>
      </c>
      <c r="C6751" s="26" t="str">
        <f>VLOOKUP(Tabela1[[#This Row],[Cliente]],'BASE DE CLIENTES'!A:E,2,0)</f>
        <v>Brasília</v>
      </c>
      <c r="D6751" s="26" t="str">
        <f>VLOOKUP(Tabela1[[#This Row],[Cliente]],'BASE DE CLIENTES'!A:C,3,0)</f>
        <v>DF</v>
      </c>
      <c r="E6751" s="26" t="str">
        <f>CONCATENATE(Tabela1[[#This Row],[CIDADE]],",",Tabela1[[#This Row],[UF]])</f>
        <v>Brasília,DF</v>
      </c>
      <c r="F6751" s="12">
        <v>46227</v>
      </c>
      <c r="G6751" s="14">
        <v>1945.6</v>
      </c>
      <c r="H6751" s="13">
        <v>3325</v>
      </c>
      <c r="I6751" s="7">
        <f>Tabela1[[#This Row],[Valor total]]-Tabela1[[#This Row],[Valor custo]]</f>
        <v>1379.4</v>
      </c>
      <c r="J6751" s="27">
        <f>Tabela1[[#This Row],[MARGEM BRUTA]]/Tabela1[[#This Row],[Valor total]]</f>
        <v>0.41485714285714287</v>
      </c>
      <c r="K6751" s="26" t="str">
        <f>VLOOKUP(Tabela1[[#This Row],[Cliente]],'BASE DE CLIENTES'!A:D,4,0)</f>
        <v>SERRALHEIRO</v>
      </c>
      <c r="L6751" s="26" t="str">
        <f>VLOOKUP(Tabela1[[#This Row],[Cliente]],'BASE DE CLIENTES'!A:E,5,0)</f>
        <v>RECANTO DAS EMAS</v>
      </c>
    </row>
    <row r="6752" spans="2:12" x14ac:dyDescent="0.3">
      <c r="B6752" t="s">
        <v>1223</v>
      </c>
      <c r="C6752" s="26" t="str">
        <f>VLOOKUP(Tabela1[[#This Row],[Cliente]],'BASE DE CLIENTES'!A:E,2,0)</f>
        <v>MERCADO LIVRE</v>
      </c>
      <c r="D6752" s="26" t="str">
        <f>VLOOKUP(Tabela1[[#This Row],[Cliente]],'BASE DE CLIENTES'!A:C,3,0)</f>
        <v>MERCADO LIVRE</v>
      </c>
      <c r="E6752" s="26" t="str">
        <f>CONCATENATE(Tabela1[[#This Row],[CIDADE]],",",Tabela1[[#This Row],[UF]])</f>
        <v>MERCADO LIVRE,MERCADO LIVRE</v>
      </c>
      <c r="F6752" s="12">
        <v>46227</v>
      </c>
      <c r="G6752" s="14">
        <v>0</v>
      </c>
      <c r="H6752" s="13">
        <v>58.66</v>
      </c>
      <c r="I6752" s="7">
        <f>Tabela1[[#This Row],[Valor total]]-Tabela1[[#This Row],[Valor custo]]</f>
        <v>58.66</v>
      </c>
      <c r="J6752" s="27">
        <f>Tabela1[[#This Row],[MARGEM BRUTA]]/Tabela1[[#This Row],[Valor total]]</f>
        <v>1</v>
      </c>
      <c r="K6752" s="26" t="str">
        <f>VLOOKUP(Tabela1[[#This Row],[Cliente]],'BASE DE CLIENTES'!A:D,4,0)</f>
        <v>OUTROS RAMOS</v>
      </c>
      <c r="L6752" s="26" t="str">
        <f>VLOOKUP(Tabela1[[#This Row],[Cliente]],'BASE DE CLIENTES'!A:E,5,0)</f>
        <v>MERCADO LIVRE</v>
      </c>
    </row>
    <row r="6753" spans="2:12" x14ac:dyDescent="0.3">
      <c r="B6753" t="s">
        <v>38</v>
      </c>
      <c r="C6753" s="26" t="str">
        <f>VLOOKUP(Tabela1[[#This Row],[Cliente]],'BASE DE CLIENTES'!A:E,2,0)</f>
        <v>Brasília</v>
      </c>
      <c r="D6753" s="26" t="str">
        <f>VLOOKUP(Tabela1[[#This Row],[Cliente]],'BASE DE CLIENTES'!A:C,3,0)</f>
        <v>DF</v>
      </c>
      <c r="E6753" s="26" t="str">
        <f>CONCATENATE(Tabela1[[#This Row],[CIDADE]],",",Tabela1[[#This Row],[UF]])</f>
        <v>Brasília,DF</v>
      </c>
      <c r="F6753" s="12">
        <v>46227</v>
      </c>
      <c r="G6753" s="14">
        <v>380</v>
      </c>
      <c r="H6753" s="13">
        <v>615</v>
      </c>
      <c r="I6753" s="7">
        <f>Tabela1[[#This Row],[Valor total]]-Tabela1[[#This Row],[Valor custo]]</f>
        <v>235</v>
      </c>
      <c r="J6753" s="27">
        <f>Tabela1[[#This Row],[MARGEM BRUTA]]/Tabela1[[#This Row],[Valor total]]</f>
        <v>0.38211382113821141</v>
      </c>
      <c r="K6753" s="26" t="str">
        <f>VLOOKUP(Tabela1[[#This Row],[Cliente]],'BASE DE CLIENTES'!A:D,4,0)</f>
        <v>EMPRESA SEM MAQUINA</v>
      </c>
      <c r="L6753" s="26" t="str">
        <f>VLOOKUP(Tabela1[[#This Row],[Cliente]],'BASE DE CLIENTES'!A:E,5,0)</f>
        <v>PONTE ALTA NORTE (GAMA)</v>
      </c>
    </row>
    <row r="6754" spans="2:12" x14ac:dyDescent="0.3">
      <c r="B6754" t="s">
        <v>355</v>
      </c>
      <c r="C6754" s="26" t="str">
        <f>VLOOKUP(Tabela1[[#This Row],[Cliente]],'BASE DE CLIENTES'!A:E,2,0)</f>
        <v>Valparaíso de Goiás</v>
      </c>
      <c r="D6754" s="26" t="str">
        <f>VLOOKUP(Tabela1[[#This Row],[Cliente]],'BASE DE CLIENTES'!A:C,3,0)</f>
        <v>GO</v>
      </c>
      <c r="E6754" s="26" t="str">
        <f>CONCATENATE(Tabela1[[#This Row],[CIDADE]],",",Tabela1[[#This Row],[UF]])</f>
        <v>Valparaíso de Goiás,GO</v>
      </c>
      <c r="F6754" s="12">
        <v>46227</v>
      </c>
      <c r="G6754" s="14">
        <v>1440</v>
      </c>
      <c r="H6754" s="13">
        <v>2590</v>
      </c>
      <c r="I6754" s="7">
        <f>Tabela1[[#This Row],[Valor total]]-Tabela1[[#This Row],[Valor custo]]</f>
        <v>1150</v>
      </c>
      <c r="J6754" s="27">
        <f>Tabela1[[#This Row],[MARGEM BRUTA]]/Tabela1[[#This Row],[Valor total]]</f>
        <v>0.44401544401544402</v>
      </c>
      <c r="K6754" s="26" t="str">
        <f>VLOOKUP(Tabela1[[#This Row],[Cliente]],'BASE DE CLIENTES'!A:D,4,0)</f>
        <v>CLIENTE NOVO S/ IDENT.</v>
      </c>
      <c r="L6754" s="26" t="str">
        <f>VLOOKUP(Tabela1[[#This Row],[Cliente]],'BASE DE CLIENTES'!A:E,5,0)</f>
        <v>Valparaíso de Goiás</v>
      </c>
    </row>
    <row r="6755" spans="2:12" x14ac:dyDescent="0.3">
      <c r="B6755" t="s">
        <v>23</v>
      </c>
      <c r="C6755" s="26" t="str">
        <f>VLOOKUP(Tabela1[[#This Row],[Cliente]],'BASE DE CLIENTES'!A:E,2,0)</f>
        <v>Brasília</v>
      </c>
      <c r="D6755" s="26" t="str">
        <f>VLOOKUP(Tabela1[[#This Row],[Cliente]],'BASE DE CLIENTES'!A:C,3,0)</f>
        <v>DF</v>
      </c>
      <c r="E6755" s="26" t="str">
        <f>CONCATENATE(Tabela1[[#This Row],[CIDADE]],",",Tabela1[[#This Row],[UF]])</f>
        <v>Brasília,DF</v>
      </c>
      <c r="F6755" s="12">
        <v>46227</v>
      </c>
      <c r="G6755" s="14">
        <v>422</v>
      </c>
      <c r="H6755" s="13">
        <v>620</v>
      </c>
      <c r="I6755" s="7">
        <f>Tabela1[[#This Row],[Valor total]]-Tabela1[[#This Row],[Valor custo]]</f>
        <v>198</v>
      </c>
      <c r="J6755" s="27">
        <f>Tabela1[[#This Row],[MARGEM BRUTA]]/Tabela1[[#This Row],[Valor total]]</f>
        <v>0.3193548387096774</v>
      </c>
      <c r="K6755" s="26" t="str">
        <f>VLOOKUP(Tabela1[[#This Row],[Cliente]],'BASE DE CLIENTES'!A:D,4,0)</f>
        <v>EMPRESA SEM MAQUINA</v>
      </c>
      <c r="L6755" s="26" t="str">
        <f>VLOOKUP(Tabela1[[#This Row],[Cliente]],'BASE DE CLIENTES'!A:E,5,0)</f>
        <v>SETOR INDUSTRIAL (TAGUATINGA)</v>
      </c>
    </row>
    <row r="6756" spans="2:12" x14ac:dyDescent="0.3">
      <c r="B6756" t="s">
        <v>1223</v>
      </c>
      <c r="C6756" s="26" t="str">
        <f>VLOOKUP(Tabela1[[#This Row],[Cliente]],'BASE DE CLIENTES'!A:E,2,0)</f>
        <v>MERCADO LIVRE</v>
      </c>
      <c r="D6756" s="26" t="str">
        <f>VLOOKUP(Tabela1[[#This Row],[Cliente]],'BASE DE CLIENTES'!A:C,3,0)</f>
        <v>MERCADO LIVRE</v>
      </c>
      <c r="E6756" s="26" t="str">
        <f>CONCATENATE(Tabela1[[#This Row],[CIDADE]],",",Tabela1[[#This Row],[UF]])</f>
        <v>MERCADO LIVRE,MERCADO LIVRE</v>
      </c>
      <c r="F6756" s="12">
        <v>46227</v>
      </c>
      <c r="G6756" s="14">
        <v>56.28</v>
      </c>
      <c r="H6756" s="13">
        <v>220.47</v>
      </c>
      <c r="I6756" s="7">
        <f>Tabela1[[#This Row],[Valor total]]-Tabela1[[#This Row],[Valor custo]]</f>
        <v>164.19</v>
      </c>
      <c r="J6756" s="27">
        <f>Tabela1[[#This Row],[MARGEM BRUTA]]/Tabela1[[#This Row],[Valor total]]</f>
        <v>0.74472717376513808</v>
      </c>
      <c r="K6756" s="26" t="str">
        <f>VLOOKUP(Tabela1[[#This Row],[Cliente]],'BASE DE CLIENTES'!A:D,4,0)</f>
        <v>OUTROS RAMOS</v>
      </c>
      <c r="L6756" s="26" t="str">
        <f>VLOOKUP(Tabela1[[#This Row],[Cliente]],'BASE DE CLIENTES'!A:E,5,0)</f>
        <v>MERCADO LIVRE</v>
      </c>
    </row>
    <row r="6757" spans="2:12" x14ac:dyDescent="0.3">
      <c r="B6757" t="s">
        <v>187</v>
      </c>
      <c r="C6757" s="26" t="str">
        <f>VLOOKUP(Tabela1[[#This Row],[Cliente]],'BASE DE CLIENTES'!A:E,2,0)</f>
        <v>Brasília</v>
      </c>
      <c r="D6757" s="26" t="str">
        <f>VLOOKUP(Tabela1[[#This Row],[Cliente]],'BASE DE CLIENTES'!A:C,3,0)</f>
        <v>DF</v>
      </c>
      <c r="E6757" s="26" t="str">
        <f>CONCATENATE(Tabela1[[#This Row],[CIDADE]],",",Tabela1[[#This Row],[UF]])</f>
        <v>Brasília,DF</v>
      </c>
      <c r="F6757" s="12">
        <v>46227</v>
      </c>
      <c r="G6757" s="14">
        <v>30.5</v>
      </c>
      <c r="H6757" s="13">
        <v>45</v>
      </c>
      <c r="I6757" s="7">
        <f>Tabela1[[#This Row],[Valor total]]-Tabela1[[#This Row],[Valor custo]]</f>
        <v>14.5</v>
      </c>
      <c r="J6757" s="27">
        <f>Tabela1[[#This Row],[MARGEM BRUTA]]/Tabela1[[#This Row],[Valor total]]</f>
        <v>0.32222222222222224</v>
      </c>
      <c r="K6757" s="26" t="str">
        <f>VLOOKUP(Tabela1[[#This Row],[Cliente]],'BASE DE CLIENTES'!A:D,4,0)</f>
        <v>SERRALHEIRO</v>
      </c>
      <c r="L6757" s="26" t="str">
        <f>VLOOKUP(Tabela1[[#This Row],[Cliente]],'BASE DE CLIENTES'!A:E,5,0)</f>
        <v>CEILANDIA SUL (CEILANDIA)</v>
      </c>
    </row>
    <row r="6758" spans="2:12" x14ac:dyDescent="0.3">
      <c r="B6758" t="s">
        <v>42</v>
      </c>
      <c r="C6758" s="26" t="str">
        <f>VLOOKUP(Tabela1[[#This Row],[Cliente]],'BASE DE CLIENTES'!A:E,2,0)</f>
        <v>Brasília</v>
      </c>
      <c r="D6758" s="26" t="str">
        <f>VLOOKUP(Tabela1[[#This Row],[Cliente]],'BASE DE CLIENTES'!A:C,3,0)</f>
        <v>DF</v>
      </c>
      <c r="E6758" s="26" t="str">
        <f>CONCATENATE(Tabela1[[#This Row],[CIDADE]],",",Tabela1[[#This Row],[UF]])</f>
        <v>Brasília,DF</v>
      </c>
      <c r="F6758" s="12">
        <v>46226</v>
      </c>
      <c r="G6758" s="14">
        <v>760</v>
      </c>
      <c r="H6758" s="13">
        <v>1160</v>
      </c>
      <c r="I6758" s="7">
        <f>Tabela1[[#This Row],[Valor total]]-Tabela1[[#This Row],[Valor custo]]</f>
        <v>400</v>
      </c>
      <c r="J6758" s="27">
        <f>Tabela1[[#This Row],[MARGEM BRUTA]]/Tabela1[[#This Row],[Valor total]]</f>
        <v>0.34482758620689657</v>
      </c>
      <c r="K6758" s="26" t="str">
        <f>VLOOKUP(Tabela1[[#This Row],[Cliente]],'BASE DE CLIENTES'!A:D,4,0)</f>
        <v>EMPRESA SEM MAQUINA</v>
      </c>
      <c r="L6758" s="26" t="str">
        <f>VLOOKUP(Tabela1[[#This Row],[Cliente]],'BASE DE CLIENTES'!A:E,5,0)</f>
        <v>SAMAMBAIA</v>
      </c>
    </row>
    <row r="6759" spans="2:12" x14ac:dyDescent="0.3">
      <c r="B6759" t="s">
        <v>1223</v>
      </c>
      <c r="C6759" s="26" t="str">
        <f>VLOOKUP(Tabela1[[#This Row],[Cliente]],'BASE DE CLIENTES'!A:E,2,0)</f>
        <v>MERCADO LIVRE</v>
      </c>
      <c r="D6759" s="26" t="str">
        <f>VLOOKUP(Tabela1[[#This Row],[Cliente]],'BASE DE CLIENTES'!A:C,3,0)</f>
        <v>MERCADO LIVRE</v>
      </c>
      <c r="E6759" s="26" t="str">
        <f>CONCATENATE(Tabela1[[#This Row],[CIDADE]],",",Tabela1[[#This Row],[UF]])</f>
        <v>MERCADO LIVRE,MERCADO LIVRE</v>
      </c>
      <c r="F6759" s="12">
        <v>46226</v>
      </c>
      <c r="G6759" s="14">
        <v>500</v>
      </c>
      <c r="H6759" s="13">
        <v>821.13</v>
      </c>
      <c r="I6759" s="7">
        <f>Tabela1[[#This Row],[Valor total]]-Tabela1[[#This Row],[Valor custo]]</f>
        <v>321.13</v>
      </c>
      <c r="J6759" s="27">
        <f>Tabela1[[#This Row],[MARGEM BRUTA]]/Tabela1[[#This Row],[Valor total]]</f>
        <v>0.3910830197410885</v>
      </c>
      <c r="K6759" s="26" t="str">
        <f>VLOOKUP(Tabela1[[#This Row],[Cliente]],'BASE DE CLIENTES'!A:D,4,0)</f>
        <v>OUTROS RAMOS</v>
      </c>
      <c r="L6759" s="26" t="str">
        <f>VLOOKUP(Tabela1[[#This Row],[Cliente]],'BASE DE CLIENTES'!A:E,5,0)</f>
        <v>MERCADO LIVRE</v>
      </c>
    </row>
    <row r="6760" spans="2:12" x14ac:dyDescent="0.3">
      <c r="B6760" t="s">
        <v>217</v>
      </c>
      <c r="C6760" s="26" t="str">
        <f>VLOOKUP(Tabela1[[#This Row],[Cliente]],'BASE DE CLIENTES'!A:E,2,0)</f>
        <v>Brasília</v>
      </c>
      <c r="D6760" s="26" t="str">
        <f>VLOOKUP(Tabela1[[#This Row],[Cliente]],'BASE DE CLIENTES'!A:C,3,0)</f>
        <v>DF</v>
      </c>
      <c r="E6760" s="26" t="str">
        <f>CONCATENATE(Tabela1[[#This Row],[CIDADE]],",",Tabela1[[#This Row],[UF]])</f>
        <v>Brasília,DF</v>
      </c>
      <c r="F6760" s="12">
        <v>46226</v>
      </c>
      <c r="G6760" s="14">
        <v>7.6</v>
      </c>
      <c r="H6760" s="13">
        <v>35</v>
      </c>
      <c r="I6760" s="7">
        <f>Tabela1[[#This Row],[Valor total]]-Tabela1[[#This Row],[Valor custo]]</f>
        <v>27.4</v>
      </c>
      <c r="J6760" s="27">
        <f>Tabela1[[#This Row],[MARGEM BRUTA]]/Tabela1[[#This Row],[Valor total]]</f>
        <v>0.78285714285714281</v>
      </c>
      <c r="K6760" s="26" t="str">
        <f>VLOOKUP(Tabela1[[#This Row],[Cliente]],'BASE DE CLIENTES'!A:D,4,0)</f>
        <v>EMPRESA SEM MAQUINA</v>
      </c>
      <c r="L6760" s="26" t="str">
        <f>VLOOKUP(Tabela1[[#This Row],[Cliente]],'BASE DE CLIENTES'!A:E,5,0)</f>
        <v>SETOR HABITACIONAL VICENTE PIRES</v>
      </c>
    </row>
    <row r="6761" spans="2:12" x14ac:dyDescent="0.3">
      <c r="B6761" t="s">
        <v>1221</v>
      </c>
      <c r="C6761" s="26" t="str">
        <f>VLOOKUP(Tabela1[[#This Row],[Cliente]],'BASE DE CLIENTES'!A:E,2,0)</f>
        <v>Brasília</v>
      </c>
      <c r="D6761" s="26" t="str">
        <f>VLOOKUP(Tabela1[[#This Row],[Cliente]],'BASE DE CLIENTES'!A:C,3,0)</f>
        <v>DF</v>
      </c>
      <c r="E6761" s="26" t="str">
        <f>CONCATENATE(Tabela1[[#This Row],[CIDADE]],",",Tabela1[[#This Row],[UF]])</f>
        <v>Brasília,DF</v>
      </c>
      <c r="F6761" s="12">
        <v>46226</v>
      </c>
      <c r="G6761" s="14">
        <v>380</v>
      </c>
      <c r="H6761" s="13">
        <v>645</v>
      </c>
      <c r="I6761" s="7">
        <f>Tabela1[[#This Row],[Valor total]]-Tabela1[[#This Row],[Valor custo]]</f>
        <v>265</v>
      </c>
      <c r="J6761" s="27">
        <f>Tabela1[[#This Row],[MARGEM BRUTA]]/Tabela1[[#This Row],[Valor total]]</f>
        <v>0.41085271317829458</v>
      </c>
      <c r="K6761" s="26" t="str">
        <f>VLOOKUP(Tabela1[[#This Row],[Cliente]],'BASE DE CLIENTES'!A:D,4,0)</f>
        <v>CLIENTE NOVO S/ IDENT.</v>
      </c>
      <c r="L6761" s="26" t="str">
        <f>VLOOKUP(Tabela1[[#This Row],[Cliente]],'BASE DE CLIENTES'!A:E,5,0)</f>
        <v>SAMAMBAIA SUL</v>
      </c>
    </row>
    <row r="6762" spans="2:12" x14ac:dyDescent="0.3">
      <c r="B6762" t="s">
        <v>255</v>
      </c>
      <c r="C6762" s="26" t="str">
        <f>VLOOKUP(Tabela1[[#This Row],[Cliente]],'BASE DE CLIENTES'!A:E,2,0)</f>
        <v>Brasília</v>
      </c>
      <c r="D6762" s="26" t="str">
        <f>VLOOKUP(Tabela1[[#This Row],[Cliente]],'BASE DE CLIENTES'!A:C,3,0)</f>
        <v>DF</v>
      </c>
      <c r="E6762" s="26" t="str">
        <f>CONCATENATE(Tabela1[[#This Row],[CIDADE]],",",Tabela1[[#This Row],[UF]])</f>
        <v>Brasília,DF</v>
      </c>
      <c r="F6762" s="12">
        <v>46226</v>
      </c>
      <c r="G6762" s="14">
        <v>760</v>
      </c>
      <c r="H6762" s="13">
        <v>1200</v>
      </c>
      <c r="I6762" s="7">
        <f>Tabela1[[#This Row],[Valor total]]-Tabela1[[#This Row],[Valor custo]]</f>
        <v>440</v>
      </c>
      <c r="J6762" s="27">
        <f>Tabela1[[#This Row],[MARGEM BRUTA]]/Tabela1[[#This Row],[Valor total]]</f>
        <v>0.36666666666666664</v>
      </c>
      <c r="K6762" s="26" t="str">
        <f>VLOOKUP(Tabela1[[#This Row],[Cliente]],'BASE DE CLIENTES'!A:D,4,0)</f>
        <v>EMPRESA COM MAQUINA</v>
      </c>
      <c r="L6762" s="26" t="str">
        <f>VLOOKUP(Tabela1[[#This Row],[Cliente]],'BASE DE CLIENTES'!A:E,5,0)</f>
        <v>ADE ÁGUAS CLARAS</v>
      </c>
    </row>
    <row r="6763" spans="2:12" x14ac:dyDescent="0.3">
      <c r="B6763" t="s">
        <v>154</v>
      </c>
      <c r="C6763" s="26" t="str">
        <f>VLOOKUP(Tabela1[[#This Row],[Cliente]],'BASE DE CLIENTES'!A:E,2,0)</f>
        <v>Aparecida de Goiânia</v>
      </c>
      <c r="D6763" s="26" t="str">
        <f>VLOOKUP(Tabela1[[#This Row],[Cliente]],'BASE DE CLIENTES'!A:C,3,0)</f>
        <v>GO</v>
      </c>
      <c r="E6763" s="26" t="str">
        <f>CONCATENATE(Tabela1[[#This Row],[CIDADE]],",",Tabela1[[#This Row],[UF]])</f>
        <v>Aparecida de Goiânia,GO</v>
      </c>
      <c r="F6763" s="12">
        <v>46226</v>
      </c>
      <c r="G6763" s="14">
        <v>10449.35</v>
      </c>
      <c r="H6763" s="13">
        <v>14650</v>
      </c>
      <c r="I6763" s="7">
        <f>Tabela1[[#This Row],[Valor total]]-Tabela1[[#This Row],[Valor custo]]</f>
        <v>4200.6499999999996</v>
      </c>
      <c r="J6763" s="27">
        <f>Tabela1[[#This Row],[MARGEM BRUTA]]/Tabela1[[#This Row],[Valor total]]</f>
        <v>0.28673378839590441</v>
      </c>
      <c r="K6763" s="26" t="str">
        <f>VLOOKUP(Tabela1[[#This Row],[Cliente]],'BASE DE CLIENTES'!A:D,4,0)</f>
        <v>TECNICO</v>
      </c>
      <c r="L6763" s="26" t="str">
        <f>VLOOKUP(Tabela1[[#This Row],[Cliente]],'BASE DE CLIENTES'!A:E,5,0)</f>
        <v>Aparecida de Goiânia</v>
      </c>
    </row>
    <row r="6764" spans="2:12" x14ac:dyDescent="0.3">
      <c r="B6764" t="s">
        <v>66</v>
      </c>
      <c r="C6764" s="26" t="str">
        <f>VLOOKUP(Tabela1[[#This Row],[Cliente]],'BASE DE CLIENTES'!A:E,2,0)</f>
        <v>Águas Lindas de Goiás</v>
      </c>
      <c r="D6764" s="26" t="str">
        <f>VLOOKUP(Tabela1[[#This Row],[Cliente]],'BASE DE CLIENTES'!A:C,3,0)</f>
        <v>GO</v>
      </c>
      <c r="E6764" s="26" t="str">
        <f>CONCATENATE(Tabela1[[#This Row],[CIDADE]],",",Tabela1[[#This Row],[UF]])</f>
        <v>Águas Lindas de Goiás,GO</v>
      </c>
      <c r="F6764" s="12">
        <v>46226</v>
      </c>
      <c r="G6764" s="14">
        <v>546.79</v>
      </c>
      <c r="H6764" s="13">
        <v>830</v>
      </c>
      <c r="I6764" s="7">
        <f>Tabela1[[#This Row],[Valor total]]-Tabela1[[#This Row],[Valor custo]]</f>
        <v>283.21000000000004</v>
      </c>
      <c r="J6764" s="27">
        <f>Tabela1[[#This Row],[MARGEM BRUTA]]/Tabela1[[#This Row],[Valor total]]</f>
        <v>0.34121686746987956</v>
      </c>
      <c r="K6764" s="26" t="str">
        <f>VLOOKUP(Tabela1[[#This Row],[Cliente]],'BASE DE CLIENTES'!A:D,4,0)</f>
        <v>EMPRESA COM MAQUINA</v>
      </c>
      <c r="L6764" s="26" t="str">
        <f>VLOOKUP(Tabela1[[#This Row],[Cliente]],'BASE DE CLIENTES'!A:E,5,0)</f>
        <v>Águas Lindas de Goiás</v>
      </c>
    </row>
    <row r="6765" spans="2:12" x14ac:dyDescent="0.3">
      <c r="B6765" t="s">
        <v>23</v>
      </c>
      <c r="C6765" s="26" t="str">
        <f>VLOOKUP(Tabela1[[#This Row],[Cliente]],'BASE DE CLIENTES'!A:E,2,0)</f>
        <v>Brasília</v>
      </c>
      <c r="D6765" s="26" t="str">
        <f>VLOOKUP(Tabela1[[#This Row],[Cliente]],'BASE DE CLIENTES'!A:C,3,0)</f>
        <v>DF</v>
      </c>
      <c r="E6765" s="26" t="str">
        <f>CONCATENATE(Tabela1[[#This Row],[CIDADE]],",",Tabela1[[#This Row],[UF]])</f>
        <v>Brasília,DF</v>
      </c>
      <c r="F6765" s="12">
        <v>46226</v>
      </c>
      <c r="G6765" s="14">
        <v>760</v>
      </c>
      <c r="H6765" s="13">
        <v>1100</v>
      </c>
      <c r="I6765" s="7">
        <f>Tabela1[[#This Row],[Valor total]]-Tabela1[[#This Row],[Valor custo]]</f>
        <v>340</v>
      </c>
      <c r="J6765" s="27">
        <f>Tabela1[[#This Row],[MARGEM BRUTA]]/Tabela1[[#This Row],[Valor total]]</f>
        <v>0.30909090909090908</v>
      </c>
      <c r="K6765" s="26" t="str">
        <f>VLOOKUP(Tabela1[[#This Row],[Cliente]],'BASE DE CLIENTES'!A:D,4,0)</f>
        <v>EMPRESA SEM MAQUINA</v>
      </c>
      <c r="L6765" s="26" t="str">
        <f>VLOOKUP(Tabela1[[#This Row],[Cliente]],'BASE DE CLIENTES'!A:E,5,0)</f>
        <v>SETOR INDUSTRIAL (TAGUATINGA)</v>
      </c>
    </row>
    <row r="6766" spans="2:12" x14ac:dyDescent="0.3">
      <c r="B6766" t="s">
        <v>23</v>
      </c>
      <c r="C6766" s="26" t="str">
        <f>VLOOKUP(Tabela1[[#This Row],[Cliente]],'BASE DE CLIENTES'!A:E,2,0)</f>
        <v>Brasília</v>
      </c>
      <c r="D6766" s="26" t="str">
        <f>VLOOKUP(Tabela1[[#This Row],[Cliente]],'BASE DE CLIENTES'!A:C,3,0)</f>
        <v>DF</v>
      </c>
      <c r="E6766" s="26" t="str">
        <f>CONCATENATE(Tabela1[[#This Row],[CIDADE]],",",Tabela1[[#This Row],[UF]])</f>
        <v>Brasília,DF</v>
      </c>
      <c r="F6766" s="12">
        <v>46226</v>
      </c>
      <c r="G6766" s="14">
        <v>54.43</v>
      </c>
      <c r="H6766" s="13">
        <v>70</v>
      </c>
      <c r="I6766" s="7">
        <f>Tabela1[[#This Row],[Valor total]]-Tabela1[[#This Row],[Valor custo]]</f>
        <v>15.57</v>
      </c>
      <c r="J6766" s="27">
        <f>Tabela1[[#This Row],[MARGEM BRUTA]]/Tabela1[[#This Row],[Valor total]]</f>
        <v>0.22242857142857142</v>
      </c>
      <c r="K6766" s="26" t="str">
        <f>VLOOKUP(Tabela1[[#This Row],[Cliente]],'BASE DE CLIENTES'!A:D,4,0)</f>
        <v>EMPRESA SEM MAQUINA</v>
      </c>
      <c r="L6766" s="26" t="str">
        <f>VLOOKUP(Tabela1[[#This Row],[Cliente]],'BASE DE CLIENTES'!A:E,5,0)</f>
        <v>SETOR INDUSTRIAL (TAGUATINGA)</v>
      </c>
    </row>
    <row r="6767" spans="2:12" x14ac:dyDescent="0.3">
      <c r="B6767" t="s">
        <v>27</v>
      </c>
      <c r="C6767" s="26" t="str">
        <f>VLOOKUP(Tabela1[[#This Row],[Cliente]],'BASE DE CLIENTES'!A:E,2,0)</f>
        <v>Brasília</v>
      </c>
      <c r="D6767" s="26" t="str">
        <f>VLOOKUP(Tabela1[[#This Row],[Cliente]],'BASE DE CLIENTES'!A:C,3,0)</f>
        <v>DF</v>
      </c>
      <c r="E6767" s="26" t="str">
        <f>CONCATENATE(Tabela1[[#This Row],[CIDADE]],",",Tabela1[[#This Row],[UF]])</f>
        <v>Brasília,DF</v>
      </c>
      <c r="F6767" s="12">
        <v>46226</v>
      </c>
      <c r="G6767" s="14">
        <v>380</v>
      </c>
      <c r="H6767" s="13">
        <v>615</v>
      </c>
      <c r="I6767" s="7">
        <f>Tabela1[[#This Row],[Valor total]]-Tabela1[[#This Row],[Valor custo]]</f>
        <v>235</v>
      </c>
      <c r="J6767" s="27">
        <f>Tabela1[[#This Row],[MARGEM BRUTA]]/Tabela1[[#This Row],[Valor total]]</f>
        <v>0.38211382113821141</v>
      </c>
      <c r="K6767" s="26" t="str">
        <f>VLOOKUP(Tabela1[[#This Row],[Cliente]],'BASE DE CLIENTES'!A:D,4,0)</f>
        <v>EMPRESA SEM MAQUINA</v>
      </c>
      <c r="L6767" s="26" t="str">
        <f>VLOOKUP(Tabela1[[#This Row],[Cliente]],'BASE DE CLIENTES'!A:E,5,0)</f>
        <v>RECANTO DAS EMAS</v>
      </c>
    </row>
    <row r="6768" spans="2:12" x14ac:dyDescent="0.3">
      <c r="B6768" t="s">
        <v>55</v>
      </c>
      <c r="C6768" s="26" t="str">
        <f>VLOOKUP(Tabela1[[#This Row],[Cliente]],'BASE DE CLIENTES'!A:E,2,0)</f>
        <v>Brasília</v>
      </c>
      <c r="D6768" s="26" t="str">
        <f>VLOOKUP(Tabela1[[#This Row],[Cliente]],'BASE DE CLIENTES'!A:C,3,0)</f>
        <v>DF</v>
      </c>
      <c r="E6768" s="26" t="str">
        <f>CONCATENATE(Tabela1[[#This Row],[CIDADE]],",",Tabela1[[#This Row],[UF]])</f>
        <v>Brasília,DF</v>
      </c>
      <c r="F6768" s="12">
        <v>46226</v>
      </c>
      <c r="G6768" s="14">
        <v>923.26</v>
      </c>
      <c r="H6768" s="13">
        <v>1515</v>
      </c>
      <c r="I6768" s="7">
        <f>Tabela1[[#This Row],[Valor total]]-Tabela1[[#This Row],[Valor custo]]</f>
        <v>591.74</v>
      </c>
      <c r="J6768" s="27">
        <f>Tabela1[[#This Row],[MARGEM BRUTA]]/Tabela1[[#This Row],[Valor total]]</f>
        <v>0.39058745874587458</v>
      </c>
      <c r="K6768" s="26" t="str">
        <f>VLOOKUP(Tabela1[[#This Row],[Cliente]],'BASE DE CLIENTES'!A:D,4,0)</f>
        <v>EMPRESA SEM MAQUINA</v>
      </c>
      <c r="L6768" s="26" t="str">
        <f>VLOOKUP(Tabela1[[#This Row],[Cliente]],'BASE DE CLIENTES'!A:E,5,0)</f>
        <v>RECANTO DAS EMAS</v>
      </c>
    </row>
    <row r="6769" spans="2:12" x14ac:dyDescent="0.3">
      <c r="B6769" t="s">
        <v>128</v>
      </c>
      <c r="C6769" s="26" t="str">
        <f>VLOOKUP(Tabela1[[#This Row],[Cliente]],'BASE DE CLIENTES'!A:E,2,0)</f>
        <v>Brasília</v>
      </c>
      <c r="D6769" s="26" t="str">
        <f>VLOOKUP(Tabela1[[#This Row],[Cliente]],'BASE DE CLIENTES'!A:C,3,0)</f>
        <v>DF</v>
      </c>
      <c r="E6769" s="26" t="str">
        <f>CONCATENATE(Tabela1[[#This Row],[CIDADE]],",",Tabela1[[#This Row],[UF]])</f>
        <v>Brasília,DF</v>
      </c>
      <c r="F6769" s="12">
        <v>46226</v>
      </c>
      <c r="G6769" s="14">
        <v>399</v>
      </c>
      <c r="H6769" s="13">
        <v>764</v>
      </c>
      <c r="I6769" s="7">
        <f>Tabela1[[#This Row],[Valor total]]-Tabela1[[#This Row],[Valor custo]]</f>
        <v>365</v>
      </c>
      <c r="J6769" s="27">
        <f>Tabela1[[#This Row],[MARGEM BRUTA]]/Tabela1[[#This Row],[Valor total]]</f>
        <v>0.47774869109947643</v>
      </c>
      <c r="K6769" s="26" t="str">
        <f>VLOOKUP(Tabela1[[#This Row],[Cliente]],'BASE DE CLIENTES'!A:D,4,0)</f>
        <v>SERRALHEIRO</v>
      </c>
      <c r="L6769" s="26" t="str">
        <f>VLOOKUP(Tabela1[[#This Row],[Cliente]],'BASE DE CLIENTES'!A:E,5,0)</f>
        <v>TAGUATINGA NORTE</v>
      </c>
    </row>
    <row r="6770" spans="2:12" x14ac:dyDescent="0.3">
      <c r="B6770" t="s">
        <v>92</v>
      </c>
      <c r="C6770" s="26" t="str">
        <f>VLOOKUP(Tabela1[[#This Row],[Cliente]],'BASE DE CLIENTES'!A:E,2,0)</f>
        <v>Brasília</v>
      </c>
      <c r="D6770" s="26" t="str">
        <f>VLOOKUP(Tabela1[[#This Row],[Cliente]],'BASE DE CLIENTES'!A:C,3,0)</f>
        <v>DF</v>
      </c>
      <c r="E6770" s="26" t="str">
        <f>CONCATENATE(Tabela1[[#This Row],[CIDADE]],",",Tabela1[[#This Row],[UF]])</f>
        <v>Brasília,DF</v>
      </c>
      <c r="F6770" s="12">
        <v>46226</v>
      </c>
      <c r="G6770" s="14">
        <v>19</v>
      </c>
      <c r="H6770" s="13">
        <v>100</v>
      </c>
      <c r="I6770" s="7">
        <f>Tabela1[[#This Row],[Valor total]]-Tabela1[[#This Row],[Valor custo]]</f>
        <v>81</v>
      </c>
      <c r="J6770" s="27">
        <f>Tabela1[[#This Row],[MARGEM BRUTA]]/Tabela1[[#This Row],[Valor total]]</f>
        <v>0.81</v>
      </c>
      <c r="K6770" s="26" t="str">
        <f>VLOOKUP(Tabela1[[#This Row],[Cliente]],'BASE DE CLIENTES'!A:D,4,0)</f>
        <v>EMPRESA SEM MAQUINA</v>
      </c>
      <c r="L6770" s="26" t="str">
        <f>VLOOKUP(Tabela1[[#This Row],[Cliente]],'BASE DE CLIENTES'!A:E,5,0)</f>
        <v>SOBRADINHO</v>
      </c>
    </row>
    <row r="6771" spans="2:12" x14ac:dyDescent="0.3">
      <c r="B6771" t="s">
        <v>92</v>
      </c>
      <c r="C6771" s="26" t="str">
        <f>VLOOKUP(Tabela1[[#This Row],[Cliente]],'BASE DE CLIENTES'!A:E,2,0)</f>
        <v>Brasília</v>
      </c>
      <c r="D6771" s="26" t="str">
        <f>VLOOKUP(Tabela1[[#This Row],[Cliente]],'BASE DE CLIENTES'!A:C,3,0)</f>
        <v>DF</v>
      </c>
      <c r="E6771" s="26" t="str">
        <f>CONCATENATE(Tabela1[[#This Row],[CIDADE]],",",Tabela1[[#This Row],[UF]])</f>
        <v>Brasília,DF</v>
      </c>
      <c r="F6771" s="12">
        <v>46226</v>
      </c>
      <c r="G6771" s="14">
        <v>386.1</v>
      </c>
      <c r="H6771" s="13">
        <v>624</v>
      </c>
      <c r="I6771" s="7">
        <f>Tabela1[[#This Row],[Valor total]]-Tabela1[[#This Row],[Valor custo]]</f>
        <v>237.89999999999998</v>
      </c>
      <c r="J6771" s="27">
        <f>Tabela1[[#This Row],[MARGEM BRUTA]]/Tabela1[[#This Row],[Valor total]]</f>
        <v>0.38124999999999998</v>
      </c>
      <c r="K6771" s="26" t="str">
        <f>VLOOKUP(Tabela1[[#This Row],[Cliente]],'BASE DE CLIENTES'!A:D,4,0)</f>
        <v>EMPRESA SEM MAQUINA</v>
      </c>
      <c r="L6771" s="26" t="str">
        <f>VLOOKUP(Tabela1[[#This Row],[Cliente]],'BASE DE CLIENTES'!A:E,5,0)</f>
        <v>SOBRADINHO</v>
      </c>
    </row>
    <row r="6772" spans="2:12" x14ac:dyDescent="0.3">
      <c r="B6772" t="s">
        <v>117</v>
      </c>
      <c r="C6772" s="26" t="str">
        <f>VLOOKUP(Tabela1[[#This Row],[Cliente]],'BASE DE CLIENTES'!A:E,2,0)</f>
        <v>Brasília</v>
      </c>
      <c r="D6772" s="26" t="str">
        <f>VLOOKUP(Tabela1[[#This Row],[Cliente]],'BASE DE CLIENTES'!A:C,3,0)</f>
        <v>DF</v>
      </c>
      <c r="E6772" s="26" t="str">
        <f>CONCATENATE(Tabela1[[#This Row],[CIDADE]],",",Tabela1[[#This Row],[UF]])</f>
        <v>Brasília,DF</v>
      </c>
      <c r="F6772" s="12">
        <v>46226</v>
      </c>
      <c r="G6772" s="14">
        <v>2737.76</v>
      </c>
      <c r="H6772" s="13">
        <v>3400</v>
      </c>
      <c r="I6772" s="7">
        <f>Tabela1[[#This Row],[Valor total]]-Tabela1[[#This Row],[Valor custo]]</f>
        <v>662.23999999999978</v>
      </c>
      <c r="J6772" s="27">
        <f>Tabela1[[#This Row],[MARGEM BRUTA]]/Tabela1[[#This Row],[Valor total]]</f>
        <v>0.19477647058823522</v>
      </c>
      <c r="K6772" s="26" t="str">
        <f>VLOOKUP(Tabela1[[#This Row],[Cliente]],'BASE DE CLIENTES'!A:D,4,0)</f>
        <v>EMPRESA COM MAQUINA</v>
      </c>
      <c r="L6772" s="26" t="str">
        <f>VLOOKUP(Tabela1[[#This Row],[Cliente]],'BASE DE CLIENTES'!A:E,5,0)</f>
        <v>SETOR HABITACIONAL ARNIQUEIRA (AGUAS CLARAS)</v>
      </c>
    </row>
    <row r="6773" spans="2:12" x14ac:dyDescent="0.3">
      <c r="B6773" t="s">
        <v>23</v>
      </c>
      <c r="C6773" s="26" t="str">
        <f>VLOOKUP(Tabela1[[#This Row],[Cliente]],'BASE DE CLIENTES'!A:E,2,0)</f>
        <v>Brasília</v>
      </c>
      <c r="D6773" s="26" t="str">
        <f>VLOOKUP(Tabela1[[#This Row],[Cliente]],'BASE DE CLIENTES'!A:C,3,0)</f>
        <v>DF</v>
      </c>
      <c r="E6773" s="26" t="str">
        <f>CONCATENATE(Tabela1[[#This Row],[CIDADE]],",",Tabela1[[#This Row],[UF]])</f>
        <v>Brasília,DF</v>
      </c>
      <c r="F6773" s="12">
        <v>46226</v>
      </c>
      <c r="G6773" s="14">
        <v>92.1</v>
      </c>
      <c r="H6773" s="13">
        <v>110</v>
      </c>
      <c r="I6773" s="7">
        <f>Tabela1[[#This Row],[Valor total]]-Tabela1[[#This Row],[Valor custo]]</f>
        <v>17.900000000000006</v>
      </c>
      <c r="J6773" s="27">
        <f>Tabela1[[#This Row],[MARGEM BRUTA]]/Tabela1[[#This Row],[Valor total]]</f>
        <v>0.16272727272727278</v>
      </c>
      <c r="K6773" s="26" t="str">
        <f>VLOOKUP(Tabela1[[#This Row],[Cliente]],'BASE DE CLIENTES'!A:D,4,0)</f>
        <v>EMPRESA SEM MAQUINA</v>
      </c>
      <c r="L6773" s="26" t="str">
        <f>VLOOKUP(Tabela1[[#This Row],[Cliente]],'BASE DE CLIENTES'!A:E,5,0)</f>
        <v>SETOR INDUSTRIAL (TAGUATINGA)</v>
      </c>
    </row>
    <row r="6774" spans="2:12" x14ac:dyDescent="0.3">
      <c r="B6774" t="s">
        <v>232</v>
      </c>
      <c r="C6774" s="26" t="str">
        <f>VLOOKUP(Tabela1[[#This Row],[Cliente]],'BASE DE CLIENTES'!A:E,2,0)</f>
        <v>Brasília</v>
      </c>
      <c r="D6774" s="26" t="str">
        <f>VLOOKUP(Tabela1[[#This Row],[Cliente]],'BASE DE CLIENTES'!A:C,3,0)</f>
        <v>DF</v>
      </c>
      <c r="E6774" s="26" t="str">
        <f>CONCATENATE(Tabela1[[#This Row],[CIDADE]],",",Tabela1[[#This Row],[UF]])</f>
        <v>Brasília,DF</v>
      </c>
      <c r="F6774" s="12">
        <v>46226</v>
      </c>
      <c r="G6774" s="14">
        <v>191</v>
      </c>
      <c r="H6774" s="13">
        <v>300</v>
      </c>
      <c r="I6774" s="7">
        <f>Tabela1[[#This Row],[Valor total]]-Tabela1[[#This Row],[Valor custo]]</f>
        <v>109</v>
      </c>
      <c r="J6774" s="27">
        <f>Tabela1[[#This Row],[MARGEM BRUTA]]/Tabela1[[#This Row],[Valor total]]</f>
        <v>0.36333333333333334</v>
      </c>
      <c r="K6774" s="26" t="str">
        <f>VLOOKUP(Tabela1[[#This Row],[Cliente]],'BASE DE CLIENTES'!A:D,4,0)</f>
        <v>CHAVEIRO</v>
      </c>
      <c r="L6774" s="26" t="str">
        <f>VLOOKUP(Tabela1[[#This Row],[Cliente]],'BASE DE CLIENTES'!A:E,5,0)</f>
        <v>Areal (Águas Claras)</v>
      </c>
    </row>
    <row r="6775" spans="2:12" x14ac:dyDescent="0.3">
      <c r="B6775" t="s">
        <v>27</v>
      </c>
      <c r="C6775" s="26" t="str">
        <f>VLOOKUP(Tabela1[[#This Row],[Cliente]],'BASE DE CLIENTES'!A:E,2,0)</f>
        <v>Brasília</v>
      </c>
      <c r="D6775" s="26" t="str">
        <f>VLOOKUP(Tabela1[[#This Row],[Cliente]],'BASE DE CLIENTES'!A:C,3,0)</f>
        <v>DF</v>
      </c>
      <c r="E6775" s="26" t="str">
        <f>CONCATENATE(Tabela1[[#This Row],[CIDADE]],",",Tabela1[[#This Row],[UF]])</f>
        <v>Brasília,DF</v>
      </c>
      <c r="F6775" s="12">
        <v>46226</v>
      </c>
      <c r="G6775" s="14">
        <v>0</v>
      </c>
      <c r="H6775" s="13">
        <v>600</v>
      </c>
      <c r="I6775" s="7">
        <f>Tabela1[[#This Row],[Valor total]]-Tabela1[[#This Row],[Valor custo]]</f>
        <v>600</v>
      </c>
      <c r="J6775" s="27">
        <f>Tabela1[[#This Row],[MARGEM BRUTA]]/Tabela1[[#This Row],[Valor total]]</f>
        <v>1</v>
      </c>
      <c r="K6775" s="26" t="str">
        <f>VLOOKUP(Tabela1[[#This Row],[Cliente]],'BASE DE CLIENTES'!A:D,4,0)</f>
        <v>EMPRESA SEM MAQUINA</v>
      </c>
      <c r="L6775" s="26" t="str">
        <f>VLOOKUP(Tabela1[[#This Row],[Cliente]],'BASE DE CLIENTES'!A:E,5,0)</f>
        <v>RECANTO DAS EMAS</v>
      </c>
    </row>
    <row r="6776" spans="2:12" x14ac:dyDescent="0.3">
      <c r="B6776" t="s">
        <v>111</v>
      </c>
      <c r="C6776" s="26" t="str">
        <f>VLOOKUP(Tabela1[[#This Row],[Cliente]],'BASE DE CLIENTES'!A:E,2,0)</f>
        <v>Brasília</v>
      </c>
      <c r="D6776" s="26" t="str">
        <f>VLOOKUP(Tabela1[[#This Row],[Cliente]],'BASE DE CLIENTES'!A:C,3,0)</f>
        <v>DF</v>
      </c>
      <c r="E6776" s="26" t="str">
        <f>CONCATENATE(Tabela1[[#This Row],[CIDADE]],",",Tabela1[[#This Row],[UF]])</f>
        <v>Brasília,DF</v>
      </c>
      <c r="F6776" s="12">
        <v>46226</v>
      </c>
      <c r="G6776" s="14">
        <v>721.79</v>
      </c>
      <c r="H6776" s="13">
        <v>1100</v>
      </c>
      <c r="I6776" s="7">
        <f>Tabela1[[#This Row],[Valor total]]-Tabela1[[#This Row],[Valor custo]]</f>
        <v>378.21000000000004</v>
      </c>
      <c r="J6776" s="27">
        <f>Tabela1[[#This Row],[MARGEM BRUTA]]/Tabela1[[#This Row],[Valor total]]</f>
        <v>0.34382727272727276</v>
      </c>
      <c r="K6776" s="26" t="str">
        <f>VLOOKUP(Tabela1[[#This Row],[Cliente]],'BASE DE CLIENTES'!A:D,4,0)</f>
        <v>EMPRESA SEM MAQUINA</v>
      </c>
      <c r="L6776" s="26" t="str">
        <f>VLOOKUP(Tabela1[[#This Row],[Cliente]],'BASE DE CLIENTES'!A:E,5,0)</f>
        <v>TAGUATINGA SUL (TAGUATINGA)</v>
      </c>
    </row>
    <row r="6777" spans="2:12" x14ac:dyDescent="0.3">
      <c r="B6777" t="s">
        <v>68</v>
      </c>
      <c r="C6777" s="26" t="str">
        <f>VLOOKUP(Tabela1[[#This Row],[Cliente]],'BASE DE CLIENTES'!A:E,2,0)</f>
        <v>Brasília</v>
      </c>
      <c r="D6777" s="26" t="str">
        <f>VLOOKUP(Tabela1[[#This Row],[Cliente]],'BASE DE CLIENTES'!A:C,3,0)</f>
        <v>DF</v>
      </c>
      <c r="E6777" s="26" t="str">
        <f>CONCATENATE(Tabela1[[#This Row],[CIDADE]],",",Tabela1[[#This Row],[UF]])</f>
        <v>Brasília,DF</v>
      </c>
      <c r="F6777" s="12">
        <v>46226</v>
      </c>
      <c r="G6777" s="14">
        <v>1362.71</v>
      </c>
      <c r="H6777" s="13">
        <v>1960</v>
      </c>
      <c r="I6777" s="7">
        <f>Tabela1[[#This Row],[Valor total]]-Tabela1[[#This Row],[Valor custo]]</f>
        <v>597.29</v>
      </c>
      <c r="J6777" s="27">
        <f>Tabela1[[#This Row],[MARGEM BRUTA]]/Tabela1[[#This Row],[Valor total]]</f>
        <v>0.30473979591836731</v>
      </c>
      <c r="K6777" s="26" t="str">
        <f>VLOOKUP(Tabela1[[#This Row],[Cliente]],'BASE DE CLIENTES'!A:D,4,0)</f>
        <v>EMPRESA COM MAQUINA</v>
      </c>
      <c r="L6777" s="26" t="str">
        <f>VLOOKUP(Tabela1[[#This Row],[Cliente]],'BASE DE CLIENTES'!A:E,5,0)</f>
        <v>SAMAMBAIA SUL (SAMAMBAIA)</v>
      </c>
    </row>
    <row r="6778" spans="2:12" x14ac:dyDescent="0.3">
      <c r="B6778" t="s">
        <v>23</v>
      </c>
      <c r="C6778" s="26" t="str">
        <f>VLOOKUP(Tabela1[[#This Row],[Cliente]],'BASE DE CLIENTES'!A:E,2,0)</f>
        <v>Brasília</v>
      </c>
      <c r="D6778" s="26" t="str">
        <f>VLOOKUP(Tabela1[[#This Row],[Cliente]],'BASE DE CLIENTES'!A:C,3,0)</f>
        <v>DF</v>
      </c>
      <c r="E6778" s="26" t="str">
        <f>CONCATENATE(Tabela1[[#This Row],[CIDADE]],",",Tabela1[[#This Row],[UF]])</f>
        <v>Brasília,DF</v>
      </c>
      <c r="F6778" s="12">
        <v>46226</v>
      </c>
      <c r="G6778" s="14">
        <v>54.43</v>
      </c>
      <c r="H6778" s="13">
        <v>70</v>
      </c>
      <c r="I6778" s="7">
        <f>Tabela1[[#This Row],[Valor total]]-Tabela1[[#This Row],[Valor custo]]</f>
        <v>15.57</v>
      </c>
      <c r="J6778" s="27">
        <f>Tabela1[[#This Row],[MARGEM BRUTA]]/Tabela1[[#This Row],[Valor total]]</f>
        <v>0.22242857142857142</v>
      </c>
      <c r="K6778" s="26" t="str">
        <f>VLOOKUP(Tabela1[[#This Row],[Cliente]],'BASE DE CLIENTES'!A:D,4,0)</f>
        <v>EMPRESA SEM MAQUINA</v>
      </c>
      <c r="L6778" s="26" t="str">
        <f>VLOOKUP(Tabela1[[#This Row],[Cliente]],'BASE DE CLIENTES'!A:E,5,0)</f>
        <v>SETOR INDUSTRIAL (TAGUATINGA)</v>
      </c>
    </row>
    <row r="6779" spans="2:12" x14ac:dyDescent="0.3">
      <c r="B6779" t="s">
        <v>187</v>
      </c>
      <c r="C6779" s="26" t="str">
        <f>VLOOKUP(Tabela1[[#This Row],[Cliente]],'BASE DE CLIENTES'!A:E,2,0)</f>
        <v>Brasília</v>
      </c>
      <c r="D6779" s="26" t="str">
        <f>VLOOKUP(Tabela1[[#This Row],[Cliente]],'BASE DE CLIENTES'!A:C,3,0)</f>
        <v>DF</v>
      </c>
      <c r="E6779" s="26" t="str">
        <f>CONCATENATE(Tabela1[[#This Row],[CIDADE]],",",Tabela1[[#This Row],[UF]])</f>
        <v>Brasília,DF</v>
      </c>
      <c r="F6779" s="12">
        <v>46226</v>
      </c>
      <c r="G6779" s="14">
        <v>2400</v>
      </c>
      <c r="H6779" s="13">
        <v>3660</v>
      </c>
      <c r="I6779" s="7">
        <f>Tabela1[[#This Row],[Valor total]]-Tabela1[[#This Row],[Valor custo]]</f>
        <v>1260</v>
      </c>
      <c r="J6779" s="27">
        <f>Tabela1[[#This Row],[MARGEM BRUTA]]/Tabela1[[#This Row],[Valor total]]</f>
        <v>0.34426229508196721</v>
      </c>
      <c r="K6779" s="26" t="str">
        <f>VLOOKUP(Tabela1[[#This Row],[Cliente]],'BASE DE CLIENTES'!A:D,4,0)</f>
        <v>SERRALHEIRO</v>
      </c>
      <c r="L6779" s="26" t="str">
        <f>VLOOKUP(Tabela1[[#This Row],[Cliente]],'BASE DE CLIENTES'!A:E,5,0)</f>
        <v>CEILANDIA SUL (CEILANDIA)</v>
      </c>
    </row>
    <row r="6780" spans="2:12" x14ac:dyDescent="0.3">
      <c r="B6780" t="s">
        <v>1223</v>
      </c>
      <c r="C6780" s="26" t="str">
        <f>VLOOKUP(Tabela1[[#This Row],[Cliente]],'BASE DE CLIENTES'!A:E,2,0)</f>
        <v>MERCADO LIVRE</v>
      </c>
      <c r="D6780" s="26" t="str">
        <f>VLOOKUP(Tabela1[[#This Row],[Cliente]],'BASE DE CLIENTES'!A:C,3,0)</f>
        <v>MERCADO LIVRE</v>
      </c>
      <c r="E6780" s="26" t="str">
        <f>CONCATENATE(Tabela1[[#This Row],[CIDADE]],",",Tabela1[[#This Row],[UF]])</f>
        <v>MERCADO LIVRE,MERCADO LIVRE</v>
      </c>
      <c r="F6780" s="12">
        <v>46226</v>
      </c>
      <c r="G6780" s="14">
        <v>500</v>
      </c>
      <c r="H6780" s="13">
        <v>910.63</v>
      </c>
      <c r="I6780" s="7">
        <f>Tabela1[[#This Row],[Valor total]]-Tabela1[[#This Row],[Valor custo]]</f>
        <v>410.63</v>
      </c>
      <c r="J6780" s="27">
        <f>Tabela1[[#This Row],[MARGEM BRUTA]]/Tabela1[[#This Row],[Valor total]]</f>
        <v>0.45092957622744695</v>
      </c>
      <c r="K6780" s="26" t="str">
        <f>VLOOKUP(Tabela1[[#This Row],[Cliente]],'BASE DE CLIENTES'!A:D,4,0)</f>
        <v>OUTROS RAMOS</v>
      </c>
      <c r="L6780" s="26" t="str">
        <f>VLOOKUP(Tabela1[[#This Row],[Cliente]],'BASE DE CLIENTES'!A:E,5,0)</f>
        <v>MERCADO LIVRE</v>
      </c>
    </row>
    <row r="6781" spans="2:12" x14ac:dyDescent="0.3">
      <c r="B6781" t="s">
        <v>299</v>
      </c>
      <c r="C6781" s="26" t="str">
        <f>VLOOKUP(Tabela1[[#This Row],[Cliente]],'BASE DE CLIENTES'!A:E,2,0)</f>
        <v>Santo Antônio Descoberto</v>
      </c>
      <c r="D6781" s="26" t="str">
        <f>VLOOKUP(Tabela1[[#This Row],[Cliente]],'BASE DE CLIENTES'!A:C,3,0)</f>
        <v>GO</v>
      </c>
      <c r="E6781" s="26" t="str">
        <f>CONCATENATE(Tabela1[[#This Row],[CIDADE]],",",Tabela1[[#This Row],[UF]])</f>
        <v>Santo Antônio Descoberto,GO</v>
      </c>
      <c r="F6781" s="12">
        <v>46226</v>
      </c>
      <c r="G6781" s="14">
        <v>64.8</v>
      </c>
      <c r="H6781" s="13">
        <v>170</v>
      </c>
      <c r="I6781" s="7">
        <f>Tabela1[[#This Row],[Valor total]]-Tabela1[[#This Row],[Valor custo]]</f>
        <v>105.2</v>
      </c>
      <c r="J6781" s="27">
        <f>Tabela1[[#This Row],[MARGEM BRUTA]]/Tabela1[[#This Row],[Valor total]]</f>
        <v>0.61882352941176477</v>
      </c>
      <c r="K6781" s="26" t="str">
        <f>VLOOKUP(Tabela1[[#This Row],[Cliente]],'BASE DE CLIENTES'!A:D,4,0)</f>
        <v>SERRALHEIRO</v>
      </c>
      <c r="L6781" s="26" t="str">
        <f>VLOOKUP(Tabela1[[#This Row],[Cliente]],'BASE DE CLIENTES'!A:E,5,0)</f>
        <v>Santo Antônio Descoberto</v>
      </c>
    </row>
    <row r="6782" spans="2:12" x14ac:dyDescent="0.3">
      <c r="B6782" t="s">
        <v>117</v>
      </c>
      <c r="C6782" s="26" t="str">
        <f>VLOOKUP(Tabela1[[#This Row],[Cliente]],'BASE DE CLIENTES'!A:E,2,0)</f>
        <v>Brasília</v>
      </c>
      <c r="D6782" s="26" t="str">
        <f>VLOOKUP(Tabela1[[#This Row],[Cliente]],'BASE DE CLIENTES'!A:C,3,0)</f>
        <v>DF</v>
      </c>
      <c r="E6782" s="26" t="str">
        <f>CONCATENATE(Tabela1[[#This Row],[CIDADE]],",",Tabela1[[#This Row],[UF]])</f>
        <v>Brasília,DF</v>
      </c>
      <c r="F6782" s="12">
        <v>46225</v>
      </c>
      <c r="G6782" s="14">
        <v>0</v>
      </c>
      <c r="H6782" s="13">
        <v>500</v>
      </c>
      <c r="I6782" s="7">
        <f>Tabela1[[#This Row],[Valor total]]-Tabela1[[#This Row],[Valor custo]]</f>
        <v>500</v>
      </c>
      <c r="J6782" s="27">
        <f>Tabela1[[#This Row],[MARGEM BRUTA]]/Tabela1[[#This Row],[Valor total]]</f>
        <v>1</v>
      </c>
      <c r="K6782" s="26" t="str">
        <f>VLOOKUP(Tabela1[[#This Row],[Cliente]],'BASE DE CLIENTES'!A:D,4,0)</f>
        <v>EMPRESA COM MAQUINA</v>
      </c>
      <c r="L6782" s="26" t="str">
        <f>VLOOKUP(Tabela1[[#This Row],[Cliente]],'BASE DE CLIENTES'!A:E,5,0)</f>
        <v>SETOR HABITACIONAL ARNIQUEIRA (AGUAS CLARAS)</v>
      </c>
    </row>
    <row r="6783" spans="2:12" x14ac:dyDescent="0.3">
      <c r="B6783" t="s">
        <v>15</v>
      </c>
      <c r="C6783" s="26" t="str">
        <f>VLOOKUP(Tabela1[[#This Row],[Cliente]],'BASE DE CLIENTES'!A:E,2,0)</f>
        <v>Brasília</v>
      </c>
      <c r="D6783" s="26" t="str">
        <f>VLOOKUP(Tabela1[[#This Row],[Cliente]],'BASE DE CLIENTES'!A:C,3,0)</f>
        <v>DF</v>
      </c>
      <c r="E6783" s="26" t="str">
        <f>CONCATENATE(Tabela1[[#This Row],[CIDADE]],",",Tabela1[[#This Row],[UF]])</f>
        <v>Brasília,DF</v>
      </c>
      <c r="F6783" s="12">
        <v>46225</v>
      </c>
      <c r="G6783" s="14">
        <v>838</v>
      </c>
      <c r="H6783" s="13">
        <v>1380</v>
      </c>
      <c r="I6783" s="7">
        <f>Tabela1[[#This Row],[Valor total]]-Tabela1[[#This Row],[Valor custo]]</f>
        <v>542</v>
      </c>
      <c r="J6783" s="27">
        <f>Tabela1[[#This Row],[MARGEM BRUTA]]/Tabela1[[#This Row],[Valor total]]</f>
        <v>0.39275362318840579</v>
      </c>
      <c r="K6783" s="26" t="str">
        <f>VLOOKUP(Tabela1[[#This Row],[Cliente]],'BASE DE CLIENTES'!A:D,4,0)</f>
        <v>SERRALHEIRO</v>
      </c>
      <c r="L6783" s="26" t="str">
        <f>VLOOKUP(Tabela1[[#This Row],[Cliente]],'BASE DE CLIENTES'!A:E,5,0)</f>
        <v>SETOR HABITACIONAL VICENTE PIRES</v>
      </c>
    </row>
    <row r="6784" spans="2:12" x14ac:dyDescent="0.3">
      <c r="B6784" t="s">
        <v>30</v>
      </c>
      <c r="C6784" s="26" t="str">
        <f>VLOOKUP(Tabela1[[#This Row],[Cliente]],'BASE DE CLIENTES'!A:E,2,0)</f>
        <v>Águas Lindas de Goiás</v>
      </c>
      <c r="D6784" s="26" t="str">
        <f>VLOOKUP(Tabela1[[#This Row],[Cliente]],'BASE DE CLIENTES'!A:C,3,0)</f>
        <v>GO</v>
      </c>
      <c r="E6784" s="26" t="str">
        <f>CONCATENATE(Tabela1[[#This Row],[CIDADE]],",",Tabela1[[#This Row],[UF]])</f>
        <v>Águas Lindas de Goiás,GO</v>
      </c>
      <c r="F6784" s="12">
        <v>46225</v>
      </c>
      <c r="G6784" s="14">
        <v>670</v>
      </c>
      <c r="H6784" s="13">
        <v>1200</v>
      </c>
      <c r="I6784" s="7">
        <f>Tabela1[[#This Row],[Valor total]]-Tabela1[[#This Row],[Valor custo]]</f>
        <v>530</v>
      </c>
      <c r="J6784" s="27">
        <f>Tabela1[[#This Row],[MARGEM BRUTA]]/Tabela1[[#This Row],[Valor total]]</f>
        <v>0.44166666666666665</v>
      </c>
      <c r="K6784" s="26" t="str">
        <f>VLOOKUP(Tabela1[[#This Row],[Cliente]],'BASE DE CLIENTES'!A:D,4,0)</f>
        <v>SERRALHEIRO</v>
      </c>
      <c r="L6784" s="26" t="str">
        <f>VLOOKUP(Tabela1[[#This Row],[Cliente]],'BASE DE CLIENTES'!A:E,5,0)</f>
        <v>Águas Lindas de Goiás</v>
      </c>
    </row>
    <row r="6785" spans="2:12" x14ac:dyDescent="0.3">
      <c r="B6785" t="s">
        <v>76</v>
      </c>
      <c r="C6785" s="26" t="str">
        <f>VLOOKUP(Tabela1[[#This Row],[Cliente]],'BASE DE CLIENTES'!A:E,2,0)</f>
        <v>Brasília</v>
      </c>
      <c r="D6785" s="26" t="str">
        <f>VLOOKUP(Tabela1[[#This Row],[Cliente]],'BASE DE CLIENTES'!A:C,3,0)</f>
        <v>DF</v>
      </c>
      <c r="E6785" s="26" t="str">
        <f>CONCATENATE(Tabela1[[#This Row],[CIDADE]],",",Tabela1[[#This Row],[UF]])</f>
        <v>Brasília,DF</v>
      </c>
      <c r="F6785" s="12">
        <v>46225</v>
      </c>
      <c r="G6785" s="14">
        <v>5632</v>
      </c>
      <c r="H6785" s="13">
        <v>8424</v>
      </c>
      <c r="I6785" s="7">
        <f>Tabela1[[#This Row],[Valor total]]-Tabela1[[#This Row],[Valor custo]]</f>
        <v>2792</v>
      </c>
      <c r="J6785" s="27">
        <f>Tabela1[[#This Row],[MARGEM BRUTA]]/Tabela1[[#This Row],[Valor total]]</f>
        <v>0.33143399810066476</v>
      </c>
      <c r="K6785" s="26" t="str">
        <f>VLOOKUP(Tabela1[[#This Row],[Cliente]],'BASE DE CLIENTES'!A:D,4,0)</f>
        <v>EMPRESA COM MAQUINA</v>
      </c>
      <c r="L6785" s="26" t="str">
        <f>VLOOKUP(Tabela1[[#This Row],[Cliente]],'BASE DE CLIENTES'!A:E,5,0)</f>
        <v>Setor Placa da Mercedes (Núcleo Bandeirante)</v>
      </c>
    </row>
    <row r="6786" spans="2:12" x14ac:dyDescent="0.3">
      <c r="B6786" t="s">
        <v>769</v>
      </c>
      <c r="C6786" s="26" t="str">
        <f>VLOOKUP(Tabela1[[#This Row],[Cliente]],'BASE DE CLIENTES'!A:E,2,0)</f>
        <v>Brasília</v>
      </c>
      <c r="D6786" s="26" t="str">
        <f>VLOOKUP(Tabela1[[#This Row],[Cliente]],'BASE DE CLIENTES'!A:C,3,0)</f>
        <v>DF</v>
      </c>
      <c r="E6786" s="26" t="str">
        <f>CONCATENATE(Tabela1[[#This Row],[CIDADE]],",",Tabela1[[#This Row],[UF]])</f>
        <v>Brasília,DF</v>
      </c>
      <c r="F6786" s="12">
        <v>46225</v>
      </c>
      <c r="G6786" s="14">
        <v>5145.6000000000004</v>
      </c>
      <c r="H6786" s="13">
        <v>8370</v>
      </c>
      <c r="I6786" s="7">
        <f>Tabela1[[#This Row],[Valor total]]-Tabela1[[#This Row],[Valor custo]]</f>
        <v>3224.3999999999996</v>
      </c>
      <c r="J6786" s="27">
        <f>Tabela1[[#This Row],[MARGEM BRUTA]]/Tabela1[[#This Row],[Valor total]]</f>
        <v>0.38523297491039421</v>
      </c>
      <c r="K6786" s="26" t="str">
        <f>VLOOKUP(Tabela1[[#This Row],[Cliente]],'BASE DE CLIENTES'!A:D,4,0)</f>
        <v>CLIENTE NOVO S/ IDENT.</v>
      </c>
      <c r="L6786" s="26" t="str">
        <f>VLOOKUP(Tabela1[[#This Row],[Cliente]],'BASE DE CLIENTES'!A:E,5,0)</f>
        <v>Taguatinga Sul (Taguatinga)</v>
      </c>
    </row>
    <row r="6787" spans="2:12" x14ac:dyDescent="0.3">
      <c r="B6787" t="s">
        <v>34</v>
      </c>
      <c r="C6787" s="26" t="str">
        <f>VLOOKUP(Tabela1[[#This Row],[Cliente]],'BASE DE CLIENTES'!A:E,2,0)</f>
        <v>Brasília</v>
      </c>
      <c r="D6787" s="26" t="str">
        <f>VLOOKUP(Tabela1[[#This Row],[Cliente]],'BASE DE CLIENTES'!A:C,3,0)</f>
        <v>DF</v>
      </c>
      <c r="E6787" s="26" t="str">
        <f>CONCATENATE(Tabela1[[#This Row],[CIDADE]],",",Tabela1[[#This Row],[UF]])</f>
        <v>Brasília,DF</v>
      </c>
      <c r="F6787" s="12">
        <v>46225</v>
      </c>
      <c r="G6787" s="14">
        <v>419</v>
      </c>
      <c r="H6787" s="13">
        <v>500</v>
      </c>
      <c r="I6787" s="7">
        <f>Tabela1[[#This Row],[Valor total]]-Tabela1[[#This Row],[Valor custo]]</f>
        <v>81</v>
      </c>
      <c r="J6787" s="27">
        <f>Tabela1[[#This Row],[MARGEM BRUTA]]/Tabela1[[#This Row],[Valor total]]</f>
        <v>0.16200000000000001</v>
      </c>
      <c r="K6787" s="26" t="str">
        <f>VLOOKUP(Tabela1[[#This Row],[Cliente]],'BASE DE CLIENTES'!A:D,4,0)</f>
        <v>SERRALHEIRO</v>
      </c>
      <c r="L6787" s="26" t="str">
        <f>VLOOKUP(Tabela1[[#This Row],[Cliente]],'BASE DE CLIENTES'!A:E,5,0)</f>
        <v>RECANTO DAS EMAS</v>
      </c>
    </row>
    <row r="6788" spans="2:12" x14ac:dyDescent="0.3">
      <c r="B6788" t="s">
        <v>161</v>
      </c>
      <c r="C6788" s="26" t="str">
        <f>VLOOKUP(Tabela1[[#This Row],[Cliente]],'BASE DE CLIENTES'!A:E,2,0)</f>
        <v>Brasília</v>
      </c>
      <c r="D6788" s="26" t="str">
        <f>VLOOKUP(Tabela1[[#This Row],[Cliente]],'BASE DE CLIENTES'!A:C,3,0)</f>
        <v>DF</v>
      </c>
      <c r="E6788" s="26" t="str">
        <f>CONCATENATE(Tabela1[[#This Row],[CIDADE]],",",Tabela1[[#This Row],[UF]])</f>
        <v>Brasília,DF</v>
      </c>
      <c r="F6788" s="12">
        <v>46225</v>
      </c>
      <c r="G6788" s="14">
        <v>13450</v>
      </c>
      <c r="H6788" s="13">
        <v>20500</v>
      </c>
      <c r="I6788" s="7">
        <f>Tabela1[[#This Row],[Valor total]]-Tabela1[[#This Row],[Valor custo]]</f>
        <v>7050</v>
      </c>
      <c r="J6788" s="27">
        <f>Tabela1[[#This Row],[MARGEM BRUTA]]/Tabela1[[#This Row],[Valor total]]</f>
        <v>0.34390243902439022</v>
      </c>
      <c r="K6788" s="26" t="str">
        <f>VLOOKUP(Tabela1[[#This Row],[Cliente]],'BASE DE CLIENTES'!A:D,4,0)</f>
        <v>EMPRESA COM MAQUINA</v>
      </c>
      <c r="L6788" s="26" t="str">
        <f>VLOOKUP(Tabela1[[#This Row],[Cliente]],'BASE DE CLIENTES'!A:E,5,0)</f>
        <v>RIACHO FUNDO II</v>
      </c>
    </row>
    <row r="6789" spans="2:12" x14ac:dyDescent="0.3">
      <c r="B6789" t="s">
        <v>316</v>
      </c>
      <c r="C6789" s="26" t="str">
        <f>VLOOKUP(Tabela1[[#This Row],[Cliente]],'BASE DE CLIENTES'!A:E,2,0)</f>
        <v>Valparaíso de Goiás</v>
      </c>
      <c r="D6789" s="26" t="str">
        <f>VLOOKUP(Tabela1[[#This Row],[Cliente]],'BASE DE CLIENTES'!A:C,3,0)</f>
        <v>GO</v>
      </c>
      <c r="E6789" s="26" t="str">
        <f>CONCATENATE(Tabela1[[#This Row],[CIDADE]],",",Tabela1[[#This Row],[UF]])</f>
        <v>Valparaíso de Goiás,GO</v>
      </c>
      <c r="F6789" s="12">
        <v>46225</v>
      </c>
      <c r="G6789" s="14">
        <v>1299</v>
      </c>
      <c r="H6789" s="13">
        <v>2000</v>
      </c>
      <c r="I6789" s="7">
        <f>Tabela1[[#This Row],[Valor total]]-Tabela1[[#This Row],[Valor custo]]</f>
        <v>701</v>
      </c>
      <c r="J6789" s="27">
        <f>Tabela1[[#This Row],[MARGEM BRUTA]]/Tabela1[[#This Row],[Valor total]]</f>
        <v>0.35049999999999998</v>
      </c>
      <c r="K6789" s="26" t="str">
        <f>VLOOKUP(Tabela1[[#This Row],[Cliente]],'BASE DE CLIENTES'!A:D,4,0)</f>
        <v>SERRALHEIRO</v>
      </c>
      <c r="L6789" s="26" t="str">
        <f>VLOOKUP(Tabela1[[#This Row],[Cliente]],'BASE DE CLIENTES'!A:E,5,0)</f>
        <v>Valparaíso de Goiás</v>
      </c>
    </row>
    <row r="6790" spans="2:12" x14ac:dyDescent="0.3">
      <c r="B6790" t="s">
        <v>25</v>
      </c>
      <c r="C6790" s="26" t="str">
        <f>VLOOKUP(Tabela1[[#This Row],[Cliente]],'BASE DE CLIENTES'!A:E,2,0)</f>
        <v>Brasília</v>
      </c>
      <c r="D6790" s="26" t="str">
        <f>VLOOKUP(Tabela1[[#This Row],[Cliente]],'BASE DE CLIENTES'!A:C,3,0)</f>
        <v>DF</v>
      </c>
      <c r="E6790" s="26" t="str">
        <f>CONCATENATE(Tabela1[[#This Row],[CIDADE]],",",Tabela1[[#This Row],[UF]])</f>
        <v>Brasília,DF</v>
      </c>
      <c r="F6790" s="12">
        <v>46225</v>
      </c>
      <c r="G6790" s="14">
        <v>419</v>
      </c>
      <c r="H6790" s="13">
        <v>655</v>
      </c>
      <c r="I6790" s="7">
        <f>Tabela1[[#This Row],[Valor total]]-Tabela1[[#This Row],[Valor custo]]</f>
        <v>236</v>
      </c>
      <c r="J6790" s="27">
        <f>Tabela1[[#This Row],[MARGEM BRUTA]]/Tabela1[[#This Row],[Valor total]]</f>
        <v>0.36030534351145038</v>
      </c>
      <c r="K6790" s="26" t="str">
        <f>VLOOKUP(Tabela1[[#This Row],[Cliente]],'BASE DE CLIENTES'!A:D,4,0)</f>
        <v>EMPRESA COM MAQUINA</v>
      </c>
      <c r="L6790" s="26" t="str">
        <f>VLOOKUP(Tabela1[[#This Row],[Cliente]],'BASE DE CLIENTES'!A:E,5,0)</f>
        <v>CEILANDIA NORTE (CEILANDIA)</v>
      </c>
    </row>
    <row r="6791" spans="2:12" x14ac:dyDescent="0.3">
      <c r="B6791" t="s">
        <v>97</v>
      </c>
      <c r="C6791" s="26" t="str">
        <f>VLOOKUP(Tabela1[[#This Row],[Cliente]],'BASE DE CLIENTES'!A:E,2,0)</f>
        <v>Brasília</v>
      </c>
      <c r="D6791" s="26" t="str">
        <f>VLOOKUP(Tabela1[[#This Row],[Cliente]],'BASE DE CLIENTES'!A:C,3,0)</f>
        <v>DF</v>
      </c>
      <c r="E6791" s="26" t="str">
        <f>CONCATENATE(Tabela1[[#This Row],[CIDADE]],",",Tabela1[[#This Row],[UF]])</f>
        <v>Brasília,DF</v>
      </c>
      <c r="F6791" s="12">
        <v>46225</v>
      </c>
      <c r="G6791" s="14">
        <v>32.6</v>
      </c>
      <c r="H6791" s="13">
        <v>150</v>
      </c>
      <c r="I6791" s="7">
        <f>Tabela1[[#This Row],[Valor total]]-Tabela1[[#This Row],[Valor custo]]</f>
        <v>117.4</v>
      </c>
      <c r="J6791" s="27">
        <f>Tabela1[[#This Row],[MARGEM BRUTA]]/Tabela1[[#This Row],[Valor total]]</f>
        <v>0.78266666666666673</v>
      </c>
      <c r="K6791" s="26" t="str">
        <f>VLOOKUP(Tabela1[[#This Row],[Cliente]],'BASE DE CLIENTES'!A:D,4,0)</f>
        <v>SERRALHEIRO</v>
      </c>
      <c r="L6791" s="26" t="str">
        <f>VLOOKUP(Tabela1[[#This Row],[Cliente]],'BASE DE CLIENTES'!A:E,5,0)</f>
        <v>CEILANDIA NORTE</v>
      </c>
    </row>
    <row r="6792" spans="2:12" x14ac:dyDescent="0.3">
      <c r="B6792" t="s">
        <v>187</v>
      </c>
      <c r="C6792" s="26" t="str">
        <f>VLOOKUP(Tabela1[[#This Row],[Cliente]],'BASE DE CLIENTES'!A:E,2,0)</f>
        <v>Brasília</v>
      </c>
      <c r="D6792" s="26" t="str">
        <f>VLOOKUP(Tabela1[[#This Row],[Cliente]],'BASE DE CLIENTES'!A:C,3,0)</f>
        <v>DF</v>
      </c>
      <c r="E6792" s="26" t="str">
        <f>CONCATENATE(Tabela1[[#This Row],[CIDADE]],",",Tabela1[[#This Row],[UF]])</f>
        <v>Brasília,DF</v>
      </c>
      <c r="F6792" s="12">
        <v>46225</v>
      </c>
      <c r="G6792" s="14">
        <v>451.6</v>
      </c>
      <c r="H6792" s="13">
        <v>815</v>
      </c>
      <c r="I6792" s="7">
        <f>Tabela1[[#This Row],[Valor total]]-Tabela1[[#This Row],[Valor custo]]</f>
        <v>363.4</v>
      </c>
      <c r="J6792" s="27">
        <f>Tabela1[[#This Row],[MARGEM BRUTA]]/Tabela1[[#This Row],[Valor total]]</f>
        <v>0.44588957055214723</v>
      </c>
      <c r="K6792" s="26" t="str">
        <f>VLOOKUP(Tabela1[[#This Row],[Cliente]],'BASE DE CLIENTES'!A:D,4,0)</f>
        <v>SERRALHEIRO</v>
      </c>
      <c r="L6792" s="26" t="str">
        <f>VLOOKUP(Tabela1[[#This Row],[Cliente]],'BASE DE CLIENTES'!A:E,5,0)</f>
        <v>CEILANDIA SUL (CEILANDIA)</v>
      </c>
    </row>
    <row r="6793" spans="2:12" x14ac:dyDescent="0.3">
      <c r="B6793" t="s">
        <v>313</v>
      </c>
      <c r="C6793" s="26" t="str">
        <f>VLOOKUP(Tabela1[[#This Row],[Cliente]],'BASE DE CLIENTES'!A:E,2,0)</f>
        <v>Unaí</v>
      </c>
      <c r="D6793" s="26" t="str">
        <f>VLOOKUP(Tabela1[[#This Row],[Cliente]],'BASE DE CLIENTES'!A:C,3,0)</f>
        <v>MG</v>
      </c>
      <c r="E6793" s="26" t="str">
        <f>CONCATENATE(Tabela1[[#This Row],[CIDADE]],",",Tabela1[[#This Row],[UF]])</f>
        <v>Unaí,MG</v>
      </c>
      <c r="F6793" s="12">
        <v>46224</v>
      </c>
      <c r="G6793" s="14">
        <v>1532.97</v>
      </c>
      <c r="H6793" s="13">
        <v>2450</v>
      </c>
      <c r="I6793" s="7">
        <f>Tabela1[[#This Row],[Valor total]]-Tabela1[[#This Row],[Valor custo]]</f>
        <v>917.03</v>
      </c>
      <c r="J6793" s="27">
        <f>Tabela1[[#This Row],[MARGEM BRUTA]]/Tabela1[[#This Row],[Valor total]]</f>
        <v>0.37429795918367348</v>
      </c>
      <c r="K6793" s="26" t="str">
        <f>VLOOKUP(Tabela1[[#This Row],[Cliente]],'BASE DE CLIENTES'!A:D,4,0)</f>
        <v>SEM CLASSIFICAÇÃO</v>
      </c>
      <c r="L6793" s="26" t="str">
        <f>VLOOKUP(Tabela1[[#This Row],[Cliente]],'BASE DE CLIENTES'!A:E,5,0)</f>
        <v>Unaí</v>
      </c>
    </row>
    <row r="6794" spans="2:12" x14ac:dyDescent="0.3">
      <c r="B6794" t="s">
        <v>42</v>
      </c>
      <c r="C6794" s="26" t="str">
        <f>VLOOKUP(Tabela1[[#This Row],[Cliente]],'BASE DE CLIENTES'!A:E,2,0)</f>
        <v>Brasília</v>
      </c>
      <c r="D6794" s="26" t="str">
        <f>VLOOKUP(Tabela1[[#This Row],[Cliente]],'BASE DE CLIENTES'!A:C,3,0)</f>
        <v>DF</v>
      </c>
      <c r="E6794" s="26" t="str">
        <f>CONCATENATE(Tabela1[[#This Row],[CIDADE]],",",Tabela1[[#This Row],[UF]])</f>
        <v>Brasília,DF</v>
      </c>
      <c r="F6794" s="12">
        <v>46224</v>
      </c>
      <c r="G6794" s="14">
        <v>546.79</v>
      </c>
      <c r="H6794" s="13">
        <v>840</v>
      </c>
      <c r="I6794" s="7">
        <f>Tabela1[[#This Row],[Valor total]]-Tabela1[[#This Row],[Valor custo]]</f>
        <v>293.21000000000004</v>
      </c>
      <c r="J6794" s="27">
        <f>Tabela1[[#This Row],[MARGEM BRUTA]]/Tabela1[[#This Row],[Valor total]]</f>
        <v>0.34905952380952388</v>
      </c>
      <c r="K6794" s="26" t="str">
        <f>VLOOKUP(Tabela1[[#This Row],[Cliente]],'BASE DE CLIENTES'!A:D,4,0)</f>
        <v>EMPRESA SEM MAQUINA</v>
      </c>
      <c r="L6794" s="26" t="str">
        <f>VLOOKUP(Tabela1[[#This Row],[Cliente]],'BASE DE CLIENTES'!A:E,5,0)</f>
        <v>SAMAMBAIA</v>
      </c>
    </row>
    <row r="6795" spans="2:12" x14ac:dyDescent="0.3">
      <c r="B6795" t="s">
        <v>27</v>
      </c>
      <c r="C6795" s="26" t="str">
        <f>VLOOKUP(Tabela1[[#This Row],[Cliente]],'BASE DE CLIENTES'!A:E,2,0)</f>
        <v>Brasília</v>
      </c>
      <c r="D6795" s="26" t="str">
        <f>VLOOKUP(Tabela1[[#This Row],[Cliente]],'BASE DE CLIENTES'!A:C,3,0)</f>
        <v>DF</v>
      </c>
      <c r="E6795" s="26" t="str">
        <f>CONCATENATE(Tabela1[[#This Row],[CIDADE]],",",Tabela1[[#This Row],[UF]])</f>
        <v>Brasília,DF</v>
      </c>
      <c r="F6795" s="12">
        <v>46224</v>
      </c>
      <c r="G6795" s="14">
        <v>670</v>
      </c>
      <c r="H6795" s="13">
        <v>1100</v>
      </c>
      <c r="I6795" s="7">
        <f>Tabela1[[#This Row],[Valor total]]-Tabela1[[#This Row],[Valor custo]]</f>
        <v>430</v>
      </c>
      <c r="J6795" s="27">
        <f>Tabela1[[#This Row],[MARGEM BRUTA]]/Tabela1[[#This Row],[Valor total]]</f>
        <v>0.39090909090909093</v>
      </c>
      <c r="K6795" s="26" t="str">
        <f>VLOOKUP(Tabela1[[#This Row],[Cliente]],'BASE DE CLIENTES'!A:D,4,0)</f>
        <v>EMPRESA SEM MAQUINA</v>
      </c>
      <c r="L6795" s="26" t="str">
        <f>VLOOKUP(Tabela1[[#This Row],[Cliente]],'BASE DE CLIENTES'!A:E,5,0)</f>
        <v>RECANTO DAS EMAS</v>
      </c>
    </row>
    <row r="6796" spans="2:12" x14ac:dyDescent="0.3">
      <c r="B6796" t="s">
        <v>99</v>
      </c>
      <c r="C6796" s="26" t="str">
        <f>VLOOKUP(Tabela1[[#This Row],[Cliente]],'BASE DE CLIENTES'!A:E,2,0)</f>
        <v>Brasília</v>
      </c>
      <c r="D6796" s="26" t="str">
        <f>VLOOKUP(Tabela1[[#This Row],[Cliente]],'BASE DE CLIENTES'!A:C,3,0)</f>
        <v>DF</v>
      </c>
      <c r="E6796" s="26" t="str">
        <f>CONCATENATE(Tabela1[[#This Row],[CIDADE]],",",Tabela1[[#This Row],[UF]])</f>
        <v>Brasília,DF</v>
      </c>
      <c r="F6796" s="12">
        <v>46224</v>
      </c>
      <c r="G6796" s="14">
        <v>561.99</v>
      </c>
      <c r="H6796" s="13">
        <v>1180</v>
      </c>
      <c r="I6796" s="7">
        <f>Tabela1[[#This Row],[Valor total]]-Tabela1[[#This Row],[Valor custo]]</f>
        <v>618.01</v>
      </c>
      <c r="J6796" s="27">
        <f>Tabela1[[#This Row],[MARGEM BRUTA]]/Tabela1[[#This Row],[Valor total]]</f>
        <v>0.52373728813559317</v>
      </c>
      <c r="K6796" s="26" t="str">
        <f>VLOOKUP(Tabela1[[#This Row],[Cliente]],'BASE DE CLIENTES'!A:D,4,0)</f>
        <v>EMPRESA COM MAQUINA</v>
      </c>
      <c r="L6796" s="26" t="str">
        <f>VLOOKUP(Tabela1[[#This Row],[Cliente]],'BASE DE CLIENTES'!A:E,5,0)</f>
        <v>ARAPOANGA (PLANALTINA)</v>
      </c>
    </row>
    <row r="6797" spans="2:12" x14ac:dyDescent="0.3">
      <c r="B6797" t="s">
        <v>340</v>
      </c>
      <c r="C6797" s="26" t="str">
        <f>VLOOKUP(Tabela1[[#This Row],[Cliente]],'BASE DE CLIENTES'!A:E,2,0)</f>
        <v>Brasília</v>
      </c>
      <c r="D6797" s="26" t="str">
        <f>VLOOKUP(Tabela1[[#This Row],[Cliente]],'BASE DE CLIENTES'!A:C,3,0)</f>
        <v>DF</v>
      </c>
      <c r="E6797" s="26" t="str">
        <f>CONCATENATE(Tabela1[[#This Row],[CIDADE]],",",Tabela1[[#This Row],[UF]])</f>
        <v>Brasília,DF</v>
      </c>
      <c r="F6797" s="12">
        <v>46224</v>
      </c>
      <c r="G6797" s="14">
        <v>221.16</v>
      </c>
      <c r="H6797" s="13">
        <v>800</v>
      </c>
      <c r="I6797" s="7">
        <f>Tabela1[[#This Row],[Valor total]]-Tabela1[[#This Row],[Valor custo]]</f>
        <v>578.84</v>
      </c>
      <c r="J6797" s="27">
        <f>Tabela1[[#This Row],[MARGEM BRUTA]]/Tabela1[[#This Row],[Valor total]]</f>
        <v>0.72355000000000003</v>
      </c>
      <c r="K6797" s="26" t="str">
        <f>VLOOKUP(Tabela1[[#This Row],[Cliente]],'BASE DE CLIENTES'!A:D,4,0)</f>
        <v>CLIENTE NOVO S/ IDENT.</v>
      </c>
      <c r="L6797" s="26" t="str">
        <f>VLOOKUP(Tabela1[[#This Row],[Cliente]],'BASE DE CLIENTES'!A:E,5,0)</f>
        <v>Brasília</v>
      </c>
    </row>
    <row r="6798" spans="2:12" x14ac:dyDescent="0.3">
      <c r="B6798" t="s">
        <v>38</v>
      </c>
      <c r="C6798" s="26" t="str">
        <f>VLOOKUP(Tabela1[[#This Row],[Cliente]],'BASE DE CLIENTES'!A:E,2,0)</f>
        <v>Brasília</v>
      </c>
      <c r="D6798" s="26" t="str">
        <f>VLOOKUP(Tabela1[[#This Row],[Cliente]],'BASE DE CLIENTES'!A:C,3,0)</f>
        <v>DF</v>
      </c>
      <c r="E6798" s="26" t="str">
        <f>CONCATENATE(Tabela1[[#This Row],[CIDADE]],",",Tabela1[[#This Row],[UF]])</f>
        <v>Brasília,DF</v>
      </c>
      <c r="F6798" s="12">
        <v>46224</v>
      </c>
      <c r="G6798" s="14">
        <v>1179</v>
      </c>
      <c r="H6798" s="13">
        <v>1910</v>
      </c>
      <c r="I6798" s="7">
        <f>Tabela1[[#This Row],[Valor total]]-Tabela1[[#This Row],[Valor custo]]</f>
        <v>731</v>
      </c>
      <c r="J6798" s="27">
        <f>Tabela1[[#This Row],[MARGEM BRUTA]]/Tabela1[[#This Row],[Valor total]]</f>
        <v>0.38272251308900523</v>
      </c>
      <c r="K6798" s="26" t="str">
        <f>VLOOKUP(Tabela1[[#This Row],[Cliente]],'BASE DE CLIENTES'!A:D,4,0)</f>
        <v>EMPRESA SEM MAQUINA</v>
      </c>
      <c r="L6798" s="26" t="str">
        <f>VLOOKUP(Tabela1[[#This Row],[Cliente]],'BASE DE CLIENTES'!A:E,5,0)</f>
        <v>PONTE ALTA NORTE (GAMA)</v>
      </c>
    </row>
    <row r="6799" spans="2:12" x14ac:dyDescent="0.3">
      <c r="B6799" t="s">
        <v>27</v>
      </c>
      <c r="C6799" s="26" t="str">
        <f>VLOOKUP(Tabela1[[#This Row],[Cliente]],'BASE DE CLIENTES'!A:E,2,0)</f>
        <v>Brasília</v>
      </c>
      <c r="D6799" s="26" t="str">
        <f>VLOOKUP(Tabela1[[#This Row],[Cliente]],'BASE DE CLIENTES'!A:C,3,0)</f>
        <v>DF</v>
      </c>
      <c r="E6799" s="26" t="str">
        <f>CONCATENATE(Tabela1[[#This Row],[CIDADE]],",",Tabela1[[#This Row],[UF]])</f>
        <v>Brasília,DF</v>
      </c>
      <c r="F6799" s="12">
        <v>46224</v>
      </c>
      <c r="G6799" s="14">
        <v>486.18</v>
      </c>
      <c r="H6799" s="13">
        <v>660</v>
      </c>
      <c r="I6799" s="7">
        <f>Tabela1[[#This Row],[Valor total]]-Tabela1[[#This Row],[Valor custo]]</f>
        <v>173.82</v>
      </c>
      <c r="J6799" s="27">
        <f>Tabela1[[#This Row],[MARGEM BRUTA]]/Tabela1[[#This Row],[Valor total]]</f>
        <v>0.26336363636363636</v>
      </c>
      <c r="K6799" s="26" t="str">
        <f>VLOOKUP(Tabela1[[#This Row],[Cliente]],'BASE DE CLIENTES'!A:D,4,0)</f>
        <v>EMPRESA SEM MAQUINA</v>
      </c>
      <c r="L6799" s="26" t="str">
        <f>VLOOKUP(Tabela1[[#This Row],[Cliente]],'BASE DE CLIENTES'!A:E,5,0)</f>
        <v>RECANTO DAS EMAS</v>
      </c>
    </row>
    <row r="6800" spans="2:12" x14ac:dyDescent="0.3">
      <c r="B6800" t="s">
        <v>23</v>
      </c>
      <c r="C6800" s="26" t="str">
        <f>VLOOKUP(Tabela1[[#This Row],[Cliente]],'BASE DE CLIENTES'!A:E,2,0)</f>
        <v>Brasília</v>
      </c>
      <c r="D6800" s="26" t="str">
        <f>VLOOKUP(Tabela1[[#This Row],[Cliente]],'BASE DE CLIENTES'!A:C,3,0)</f>
        <v>DF</v>
      </c>
      <c r="E6800" s="26" t="str">
        <f>CONCATENATE(Tabela1[[#This Row],[CIDADE]],",",Tabela1[[#This Row],[UF]])</f>
        <v>Brasília,DF</v>
      </c>
      <c r="F6800" s="12">
        <v>46224</v>
      </c>
      <c r="G6800" s="14">
        <v>380</v>
      </c>
      <c r="H6800" s="13">
        <v>550</v>
      </c>
      <c r="I6800" s="7">
        <f>Tabela1[[#This Row],[Valor total]]-Tabela1[[#This Row],[Valor custo]]</f>
        <v>170</v>
      </c>
      <c r="J6800" s="27">
        <f>Tabela1[[#This Row],[MARGEM BRUTA]]/Tabela1[[#This Row],[Valor total]]</f>
        <v>0.30909090909090908</v>
      </c>
      <c r="K6800" s="26" t="str">
        <f>VLOOKUP(Tabela1[[#This Row],[Cliente]],'BASE DE CLIENTES'!A:D,4,0)</f>
        <v>EMPRESA SEM MAQUINA</v>
      </c>
      <c r="L6800" s="26" t="str">
        <f>VLOOKUP(Tabela1[[#This Row],[Cliente]],'BASE DE CLIENTES'!A:E,5,0)</f>
        <v>SETOR INDUSTRIAL (TAGUATINGA)</v>
      </c>
    </row>
    <row r="6801" spans="2:12" x14ac:dyDescent="0.3">
      <c r="B6801" t="s">
        <v>106</v>
      </c>
      <c r="C6801" s="26" t="str">
        <f>VLOOKUP(Tabela1[[#This Row],[Cliente]],'BASE DE CLIENTES'!A:E,2,0)</f>
        <v>Brasília</v>
      </c>
      <c r="D6801" s="26" t="str">
        <f>VLOOKUP(Tabela1[[#This Row],[Cliente]],'BASE DE CLIENTES'!A:C,3,0)</f>
        <v>DF</v>
      </c>
      <c r="E6801" s="26" t="str">
        <f>CONCATENATE(Tabela1[[#This Row],[CIDADE]],",",Tabela1[[#This Row],[UF]])</f>
        <v>Brasília,DF</v>
      </c>
      <c r="F6801" s="12">
        <v>46224</v>
      </c>
      <c r="G6801" s="14">
        <v>843.69</v>
      </c>
      <c r="H6801" s="13">
        <v>1365</v>
      </c>
      <c r="I6801" s="7">
        <f>Tabela1[[#This Row],[Valor total]]-Tabela1[[#This Row],[Valor custo]]</f>
        <v>521.30999999999995</v>
      </c>
      <c r="J6801" s="27">
        <f>Tabela1[[#This Row],[MARGEM BRUTA]]/Tabela1[[#This Row],[Valor total]]</f>
        <v>0.38191208791208786</v>
      </c>
      <c r="K6801" s="26" t="str">
        <f>VLOOKUP(Tabela1[[#This Row],[Cliente]],'BASE DE CLIENTES'!A:D,4,0)</f>
        <v>EMPRESA COM MAQUINA</v>
      </c>
      <c r="L6801" s="26" t="str">
        <f>VLOOKUP(Tabela1[[#This Row],[Cliente]],'BASE DE CLIENTES'!A:E,5,0)</f>
        <v>26 DE SETEMBRO</v>
      </c>
    </row>
    <row r="6802" spans="2:12" x14ac:dyDescent="0.3">
      <c r="B6802" t="s">
        <v>120</v>
      </c>
      <c r="C6802" s="26" t="str">
        <f>VLOOKUP(Tabela1[[#This Row],[Cliente]],'BASE DE CLIENTES'!A:E,2,0)</f>
        <v>Brasília</v>
      </c>
      <c r="D6802" s="26" t="str">
        <f>VLOOKUP(Tabela1[[#This Row],[Cliente]],'BASE DE CLIENTES'!A:C,3,0)</f>
        <v>DF</v>
      </c>
      <c r="E6802" s="26" t="str">
        <f>CONCATENATE(Tabela1[[#This Row],[CIDADE]],",",Tabela1[[#This Row],[UF]])</f>
        <v>Brasília,DF</v>
      </c>
      <c r="F6802" s="12">
        <v>46224</v>
      </c>
      <c r="G6802" s="14">
        <v>2194.7600000000002</v>
      </c>
      <c r="H6802" s="13">
        <v>3500</v>
      </c>
      <c r="I6802" s="7">
        <f>Tabela1[[#This Row],[Valor total]]-Tabela1[[#This Row],[Valor custo]]</f>
        <v>1305.2399999999998</v>
      </c>
      <c r="J6802" s="27">
        <f>Tabela1[[#This Row],[MARGEM BRUTA]]/Tabela1[[#This Row],[Valor total]]</f>
        <v>0.37292571428571425</v>
      </c>
      <c r="K6802" s="26" t="str">
        <f>VLOOKUP(Tabela1[[#This Row],[Cliente]],'BASE DE CLIENTES'!A:D,4,0)</f>
        <v>EMPRESA SEM MAQUINA</v>
      </c>
      <c r="L6802" s="26" t="str">
        <f>VLOOKUP(Tabela1[[#This Row],[Cliente]],'BASE DE CLIENTES'!A:E,5,0)</f>
        <v>SAMAMBAIA</v>
      </c>
    </row>
    <row r="6803" spans="2:12" x14ac:dyDescent="0.3">
      <c r="B6803" t="s">
        <v>775</v>
      </c>
      <c r="C6803" s="26" t="str">
        <f>VLOOKUP(Tabela1[[#This Row],[Cliente]],'BASE DE CLIENTES'!A:E,2,0)</f>
        <v>Brasília</v>
      </c>
      <c r="D6803" s="26" t="str">
        <f>VLOOKUP(Tabela1[[#This Row],[Cliente]],'BASE DE CLIENTES'!A:C,3,0)</f>
        <v>DF</v>
      </c>
      <c r="E6803" s="26" t="str">
        <f>CONCATENATE(Tabela1[[#This Row],[CIDADE]],",",Tabela1[[#This Row],[UF]])</f>
        <v>Brasília,DF</v>
      </c>
      <c r="F6803" s="12">
        <v>46224</v>
      </c>
      <c r="G6803" s="14">
        <v>419</v>
      </c>
      <c r="H6803" s="13">
        <v>650</v>
      </c>
      <c r="I6803" s="7">
        <f>Tabela1[[#This Row],[Valor total]]-Tabela1[[#This Row],[Valor custo]]</f>
        <v>231</v>
      </c>
      <c r="J6803" s="27">
        <f>Tabela1[[#This Row],[MARGEM BRUTA]]/Tabela1[[#This Row],[Valor total]]</f>
        <v>0.35538461538461541</v>
      </c>
      <c r="K6803" s="26" t="str">
        <f>VLOOKUP(Tabela1[[#This Row],[Cliente]],'BASE DE CLIENTES'!A:D,4,0)</f>
        <v>CLIENTE NOVO S/ IDENT.</v>
      </c>
      <c r="L6803" s="26" t="str">
        <f>VLOOKUP(Tabela1[[#This Row],[Cliente]],'BASE DE CLIENTES'!A:E,5,0)</f>
        <v>Brasília</v>
      </c>
    </row>
    <row r="6804" spans="2:12" x14ac:dyDescent="0.3">
      <c r="B6804" t="s">
        <v>195</v>
      </c>
      <c r="C6804" s="26" t="str">
        <f>VLOOKUP(Tabela1[[#This Row],[Cliente]],'BASE DE CLIENTES'!A:E,2,0)</f>
        <v>Goiânia</v>
      </c>
      <c r="D6804" s="26" t="str">
        <f>VLOOKUP(Tabela1[[#This Row],[Cliente]],'BASE DE CLIENTES'!A:C,3,0)</f>
        <v>GO</v>
      </c>
      <c r="E6804" s="26" t="str">
        <f>CONCATENATE(Tabela1[[#This Row],[CIDADE]],",",Tabela1[[#This Row],[UF]])</f>
        <v>Goiânia,GO</v>
      </c>
      <c r="F6804" s="12">
        <v>46224</v>
      </c>
      <c r="G6804" s="14">
        <v>22949.3</v>
      </c>
      <c r="H6804" s="13">
        <v>33500</v>
      </c>
      <c r="I6804" s="7">
        <f>Tabela1[[#This Row],[Valor total]]-Tabela1[[#This Row],[Valor custo]]</f>
        <v>10550.7</v>
      </c>
      <c r="J6804" s="27">
        <f>Tabela1[[#This Row],[MARGEM BRUTA]]/Tabela1[[#This Row],[Valor total]]</f>
        <v>0.31494626865671643</v>
      </c>
      <c r="K6804" s="26" t="str">
        <f>VLOOKUP(Tabela1[[#This Row],[Cliente]],'BASE DE CLIENTES'!A:D,4,0)</f>
        <v>EMPRESA COM MAQUINA</v>
      </c>
      <c r="L6804" s="26" t="str">
        <f>VLOOKUP(Tabela1[[#This Row],[Cliente]],'BASE DE CLIENTES'!A:E,5,0)</f>
        <v>Goiânia</v>
      </c>
    </row>
    <row r="6805" spans="2:12" x14ac:dyDescent="0.3">
      <c r="B6805" t="s">
        <v>55</v>
      </c>
      <c r="C6805" s="26" t="str">
        <f>VLOOKUP(Tabela1[[#This Row],[Cliente]],'BASE DE CLIENTES'!A:E,2,0)</f>
        <v>Brasília</v>
      </c>
      <c r="D6805" s="26" t="str">
        <f>VLOOKUP(Tabela1[[#This Row],[Cliente]],'BASE DE CLIENTES'!A:C,3,0)</f>
        <v>DF</v>
      </c>
      <c r="E6805" s="26" t="str">
        <f>CONCATENATE(Tabela1[[#This Row],[CIDADE]],",",Tabela1[[#This Row],[UF]])</f>
        <v>Brasília,DF</v>
      </c>
      <c r="F6805" s="12">
        <v>46224</v>
      </c>
      <c r="G6805" s="14">
        <v>26.6</v>
      </c>
      <c r="H6805" s="13">
        <v>100</v>
      </c>
      <c r="I6805" s="7">
        <f>Tabela1[[#This Row],[Valor total]]-Tabela1[[#This Row],[Valor custo]]</f>
        <v>73.400000000000006</v>
      </c>
      <c r="J6805" s="27">
        <f>Tabela1[[#This Row],[MARGEM BRUTA]]/Tabela1[[#This Row],[Valor total]]</f>
        <v>0.7340000000000001</v>
      </c>
      <c r="K6805" s="26" t="str">
        <f>VLOOKUP(Tabela1[[#This Row],[Cliente]],'BASE DE CLIENTES'!A:D,4,0)</f>
        <v>EMPRESA SEM MAQUINA</v>
      </c>
      <c r="L6805" s="26" t="str">
        <f>VLOOKUP(Tabela1[[#This Row],[Cliente]],'BASE DE CLIENTES'!A:E,5,0)</f>
        <v>RECANTO DAS EMAS</v>
      </c>
    </row>
    <row r="6806" spans="2:12" x14ac:dyDescent="0.3">
      <c r="B6806" t="s">
        <v>55</v>
      </c>
      <c r="C6806" s="26" t="str">
        <f>VLOOKUP(Tabela1[[#This Row],[Cliente]],'BASE DE CLIENTES'!A:E,2,0)</f>
        <v>Brasília</v>
      </c>
      <c r="D6806" s="26" t="str">
        <f>VLOOKUP(Tabela1[[#This Row],[Cliente]],'BASE DE CLIENTES'!A:C,3,0)</f>
        <v>DF</v>
      </c>
      <c r="E6806" s="26" t="str">
        <f>CONCATENATE(Tabela1[[#This Row],[CIDADE]],",",Tabela1[[#This Row],[UF]])</f>
        <v>Brasília,DF</v>
      </c>
      <c r="F6806" s="12">
        <v>46224</v>
      </c>
      <c r="G6806" s="14">
        <v>1432.83</v>
      </c>
      <c r="H6806" s="13">
        <v>2869</v>
      </c>
      <c r="I6806" s="7">
        <f>Tabela1[[#This Row],[Valor total]]-Tabela1[[#This Row],[Valor custo]]</f>
        <v>1436.17</v>
      </c>
      <c r="J6806" s="27">
        <f>Tabela1[[#This Row],[MARGEM BRUTA]]/Tabela1[[#This Row],[Valor total]]</f>
        <v>0.50058208434994778</v>
      </c>
      <c r="K6806" s="26" t="str">
        <f>VLOOKUP(Tabela1[[#This Row],[Cliente]],'BASE DE CLIENTES'!A:D,4,0)</f>
        <v>EMPRESA SEM MAQUINA</v>
      </c>
      <c r="L6806" s="26" t="str">
        <f>VLOOKUP(Tabela1[[#This Row],[Cliente]],'BASE DE CLIENTES'!A:E,5,0)</f>
        <v>RECANTO DAS EMAS</v>
      </c>
    </row>
    <row r="6807" spans="2:12" x14ac:dyDescent="0.3">
      <c r="B6807" t="s">
        <v>111</v>
      </c>
      <c r="C6807" s="26" t="str">
        <f>VLOOKUP(Tabela1[[#This Row],[Cliente]],'BASE DE CLIENTES'!A:E,2,0)</f>
        <v>Brasília</v>
      </c>
      <c r="D6807" s="26" t="str">
        <f>VLOOKUP(Tabela1[[#This Row],[Cliente]],'BASE DE CLIENTES'!A:C,3,0)</f>
        <v>DF</v>
      </c>
      <c r="E6807" s="26" t="str">
        <f>CONCATENATE(Tabela1[[#This Row],[CIDADE]],",",Tabela1[[#This Row],[UF]])</f>
        <v>Brasília,DF</v>
      </c>
      <c r="F6807" s="12">
        <v>46224</v>
      </c>
      <c r="G6807" s="14">
        <v>1560.6</v>
      </c>
      <c r="H6807" s="13">
        <v>2580</v>
      </c>
      <c r="I6807" s="7">
        <f>Tabela1[[#This Row],[Valor total]]-Tabela1[[#This Row],[Valor custo]]</f>
        <v>1019.4000000000001</v>
      </c>
      <c r="J6807" s="27">
        <f>Tabela1[[#This Row],[MARGEM BRUTA]]/Tabela1[[#This Row],[Valor total]]</f>
        <v>0.39511627906976748</v>
      </c>
      <c r="K6807" s="26" t="str">
        <f>VLOOKUP(Tabela1[[#This Row],[Cliente]],'BASE DE CLIENTES'!A:D,4,0)</f>
        <v>EMPRESA SEM MAQUINA</v>
      </c>
      <c r="L6807" s="26" t="str">
        <f>VLOOKUP(Tabela1[[#This Row],[Cliente]],'BASE DE CLIENTES'!A:E,5,0)</f>
        <v>TAGUATINGA SUL (TAGUATINGA)</v>
      </c>
    </row>
    <row r="6808" spans="2:12" x14ac:dyDescent="0.3">
      <c r="B6808" t="s">
        <v>19</v>
      </c>
      <c r="C6808" s="26" t="str">
        <f>VLOOKUP(Tabela1[[#This Row],[Cliente]],'BASE DE CLIENTES'!A:E,2,0)</f>
        <v>Águas Lindas de Goiás</v>
      </c>
      <c r="D6808" s="26" t="str">
        <f>VLOOKUP(Tabela1[[#This Row],[Cliente]],'BASE DE CLIENTES'!A:C,3,0)</f>
        <v>GO</v>
      </c>
      <c r="E6808" s="26" t="str">
        <f>CONCATENATE(Tabela1[[#This Row],[CIDADE]],",",Tabela1[[#This Row],[UF]])</f>
        <v>Águas Lindas de Goiás,GO</v>
      </c>
      <c r="F6808" s="12">
        <v>46224</v>
      </c>
      <c r="G6808" s="14">
        <v>2319</v>
      </c>
      <c r="H6808" s="13">
        <v>3945</v>
      </c>
      <c r="I6808" s="7">
        <f>Tabela1[[#This Row],[Valor total]]-Tabela1[[#This Row],[Valor custo]]</f>
        <v>1626</v>
      </c>
      <c r="J6808" s="27">
        <f>Tabela1[[#This Row],[MARGEM BRUTA]]/Tabela1[[#This Row],[Valor total]]</f>
        <v>0.41216730038022814</v>
      </c>
      <c r="K6808" s="26" t="str">
        <f>VLOOKUP(Tabela1[[#This Row],[Cliente]],'BASE DE CLIENTES'!A:D,4,0)</f>
        <v>SERRALHEIRO</v>
      </c>
      <c r="L6808" s="26" t="str">
        <f>VLOOKUP(Tabela1[[#This Row],[Cliente]],'BASE DE CLIENTES'!A:E,5,0)</f>
        <v>Águas Lindas de Goiás</v>
      </c>
    </row>
    <row r="6809" spans="2:12" x14ac:dyDescent="0.3">
      <c r="B6809" t="s">
        <v>23</v>
      </c>
      <c r="C6809" s="26" t="str">
        <f>VLOOKUP(Tabela1[[#This Row],[Cliente]],'BASE DE CLIENTES'!A:E,2,0)</f>
        <v>Brasília</v>
      </c>
      <c r="D6809" s="26" t="str">
        <f>VLOOKUP(Tabela1[[#This Row],[Cliente]],'BASE DE CLIENTES'!A:C,3,0)</f>
        <v>DF</v>
      </c>
      <c r="E6809" s="26" t="str">
        <f>CONCATENATE(Tabela1[[#This Row],[CIDADE]],",",Tabela1[[#This Row],[UF]])</f>
        <v>Brasília,DF</v>
      </c>
      <c r="F6809" s="12">
        <v>46224</v>
      </c>
      <c r="G6809" s="14">
        <v>685</v>
      </c>
      <c r="H6809" s="13">
        <v>950</v>
      </c>
      <c r="I6809" s="7">
        <f>Tabela1[[#This Row],[Valor total]]-Tabela1[[#This Row],[Valor custo]]</f>
        <v>265</v>
      </c>
      <c r="J6809" s="27">
        <f>Tabela1[[#This Row],[MARGEM BRUTA]]/Tabela1[[#This Row],[Valor total]]</f>
        <v>0.27894736842105261</v>
      </c>
      <c r="K6809" s="26" t="str">
        <f>VLOOKUP(Tabela1[[#This Row],[Cliente]],'BASE DE CLIENTES'!A:D,4,0)</f>
        <v>EMPRESA SEM MAQUINA</v>
      </c>
      <c r="L6809" s="26" t="str">
        <f>VLOOKUP(Tabela1[[#This Row],[Cliente]],'BASE DE CLIENTES'!A:E,5,0)</f>
        <v>SETOR INDUSTRIAL (TAGUATINGA)</v>
      </c>
    </row>
    <row r="6810" spans="2:12" x14ac:dyDescent="0.3">
      <c r="B6810" t="s">
        <v>120</v>
      </c>
      <c r="C6810" s="26" t="str">
        <f>VLOOKUP(Tabela1[[#This Row],[Cliente]],'BASE DE CLIENTES'!A:E,2,0)</f>
        <v>Brasília</v>
      </c>
      <c r="D6810" s="26" t="str">
        <f>VLOOKUP(Tabela1[[#This Row],[Cliente]],'BASE DE CLIENTES'!A:C,3,0)</f>
        <v>DF</v>
      </c>
      <c r="E6810" s="26" t="str">
        <f>CONCATENATE(Tabela1[[#This Row],[CIDADE]],",",Tabela1[[#This Row],[UF]])</f>
        <v>Brasília,DF</v>
      </c>
      <c r="F6810" s="12">
        <v>46224</v>
      </c>
      <c r="G6810" s="14">
        <v>475.28</v>
      </c>
      <c r="H6810" s="13">
        <v>655</v>
      </c>
      <c r="I6810" s="7">
        <f>Tabela1[[#This Row],[Valor total]]-Tabela1[[#This Row],[Valor custo]]</f>
        <v>179.72000000000003</v>
      </c>
      <c r="J6810" s="27">
        <f>Tabela1[[#This Row],[MARGEM BRUTA]]/Tabela1[[#This Row],[Valor total]]</f>
        <v>0.27438167938931302</v>
      </c>
      <c r="K6810" s="26" t="str">
        <f>VLOOKUP(Tabela1[[#This Row],[Cliente]],'BASE DE CLIENTES'!A:D,4,0)</f>
        <v>EMPRESA SEM MAQUINA</v>
      </c>
      <c r="L6810" s="26" t="str">
        <f>VLOOKUP(Tabela1[[#This Row],[Cliente]],'BASE DE CLIENTES'!A:E,5,0)</f>
        <v>SAMAMBAIA</v>
      </c>
    </row>
    <row r="6811" spans="2:12" x14ac:dyDescent="0.3">
      <c r="B6811" t="s">
        <v>96</v>
      </c>
      <c r="C6811" s="26" t="str">
        <f>VLOOKUP(Tabela1[[#This Row],[Cliente]],'BASE DE CLIENTES'!A:E,2,0)</f>
        <v>Brasília</v>
      </c>
      <c r="D6811" s="26" t="str">
        <f>VLOOKUP(Tabela1[[#This Row],[Cliente]],'BASE DE CLIENTES'!A:C,3,0)</f>
        <v>DF</v>
      </c>
      <c r="E6811" s="26" t="str">
        <f>CONCATENATE(Tabela1[[#This Row],[CIDADE]],",",Tabela1[[#This Row],[UF]])</f>
        <v>Brasília,DF</v>
      </c>
      <c r="F6811" s="12">
        <v>46224</v>
      </c>
      <c r="G6811" s="14">
        <v>760</v>
      </c>
      <c r="H6811" s="13">
        <v>1230</v>
      </c>
      <c r="I6811" s="7">
        <f>Tabela1[[#This Row],[Valor total]]-Tabela1[[#This Row],[Valor custo]]</f>
        <v>470</v>
      </c>
      <c r="J6811" s="27">
        <f>Tabela1[[#This Row],[MARGEM BRUTA]]/Tabela1[[#This Row],[Valor total]]</f>
        <v>0.38211382113821141</v>
      </c>
      <c r="K6811" s="26" t="str">
        <f>VLOOKUP(Tabela1[[#This Row],[Cliente]],'BASE DE CLIENTES'!A:D,4,0)</f>
        <v>EMPRESA SEM MAQUINA</v>
      </c>
      <c r="L6811" s="26" t="str">
        <f>VLOOKUP(Tabela1[[#This Row],[Cliente]],'BASE DE CLIENTES'!A:E,5,0)</f>
        <v>CEILANDIA NORTE (CEILANDIA)</v>
      </c>
    </row>
    <row r="6812" spans="2:12" x14ac:dyDescent="0.3">
      <c r="B6812" t="s">
        <v>78</v>
      </c>
      <c r="C6812" s="26" t="str">
        <f>VLOOKUP(Tabela1[[#This Row],[Cliente]],'BASE DE CLIENTES'!A:E,2,0)</f>
        <v>Brasília</v>
      </c>
      <c r="D6812" s="26" t="str">
        <f>VLOOKUP(Tabela1[[#This Row],[Cliente]],'BASE DE CLIENTES'!A:C,3,0)</f>
        <v>DF</v>
      </c>
      <c r="E6812" s="26" t="str">
        <f>CONCATENATE(Tabela1[[#This Row],[CIDADE]],",",Tabela1[[#This Row],[UF]])</f>
        <v>Brasília,DF</v>
      </c>
      <c r="F6812" s="12">
        <v>46224</v>
      </c>
      <c r="G6812" s="14">
        <v>526.6</v>
      </c>
      <c r="H6812" s="13">
        <v>850</v>
      </c>
      <c r="I6812" s="7">
        <f>Tabela1[[#This Row],[Valor total]]-Tabela1[[#This Row],[Valor custo]]</f>
        <v>323.39999999999998</v>
      </c>
      <c r="J6812" s="27">
        <f>Tabela1[[#This Row],[MARGEM BRUTA]]/Tabela1[[#This Row],[Valor total]]</f>
        <v>0.38047058823529412</v>
      </c>
      <c r="K6812" s="26" t="str">
        <f>VLOOKUP(Tabela1[[#This Row],[Cliente]],'BASE DE CLIENTES'!A:D,4,0)</f>
        <v>SERRALHEIRO</v>
      </c>
      <c r="L6812" s="26" t="str">
        <f>VLOOKUP(Tabela1[[#This Row],[Cliente]],'BASE DE CLIENTES'!A:E,5,0)</f>
        <v>Vila do Boa (São Sebastião)</v>
      </c>
    </row>
    <row r="6813" spans="2:12" x14ac:dyDescent="0.3">
      <c r="B6813" t="s">
        <v>15</v>
      </c>
      <c r="C6813" s="26" t="str">
        <f>VLOOKUP(Tabela1[[#This Row],[Cliente]],'BASE DE CLIENTES'!A:E,2,0)</f>
        <v>Brasília</v>
      </c>
      <c r="D6813" s="26" t="str">
        <f>VLOOKUP(Tabela1[[#This Row],[Cliente]],'BASE DE CLIENTES'!A:C,3,0)</f>
        <v>DF</v>
      </c>
      <c r="E6813" s="26" t="str">
        <f>CONCATENATE(Tabela1[[#This Row],[CIDADE]],",",Tabela1[[#This Row],[UF]])</f>
        <v>Brasília,DF</v>
      </c>
      <c r="F6813" s="12">
        <v>46224</v>
      </c>
      <c r="G6813" s="14">
        <v>380</v>
      </c>
      <c r="H6813" s="13">
        <v>645</v>
      </c>
      <c r="I6813" s="7">
        <f>Tabela1[[#This Row],[Valor total]]-Tabela1[[#This Row],[Valor custo]]</f>
        <v>265</v>
      </c>
      <c r="J6813" s="27">
        <f>Tabela1[[#This Row],[MARGEM BRUTA]]/Tabela1[[#This Row],[Valor total]]</f>
        <v>0.41085271317829458</v>
      </c>
      <c r="K6813" s="26" t="str">
        <f>VLOOKUP(Tabela1[[#This Row],[Cliente]],'BASE DE CLIENTES'!A:D,4,0)</f>
        <v>SERRALHEIRO</v>
      </c>
      <c r="L6813" s="26" t="str">
        <f>VLOOKUP(Tabela1[[#This Row],[Cliente]],'BASE DE CLIENTES'!A:E,5,0)</f>
        <v>SETOR HABITACIONAL VICENTE PIRES</v>
      </c>
    </row>
    <row r="6814" spans="2:12" x14ac:dyDescent="0.3">
      <c r="B6814" t="s">
        <v>319</v>
      </c>
      <c r="C6814" s="26" t="str">
        <f>VLOOKUP(Tabela1[[#This Row],[Cliente]],'BASE DE CLIENTES'!A:E,2,0)</f>
        <v>Valparaíso de Goiás</v>
      </c>
      <c r="D6814" s="26" t="str">
        <f>VLOOKUP(Tabela1[[#This Row],[Cliente]],'BASE DE CLIENTES'!A:C,3,0)</f>
        <v>GO</v>
      </c>
      <c r="E6814" s="26" t="str">
        <f>CONCATENATE(Tabela1[[#This Row],[CIDADE]],",",Tabela1[[#This Row],[UF]])</f>
        <v>Valparaíso de Goiás,GO</v>
      </c>
      <c r="F6814" s="12">
        <v>46224</v>
      </c>
      <c r="G6814" s="14">
        <v>2150</v>
      </c>
      <c r="H6814" s="13">
        <v>3600</v>
      </c>
      <c r="I6814" s="7">
        <f>Tabela1[[#This Row],[Valor total]]-Tabela1[[#This Row],[Valor custo]]</f>
        <v>1450</v>
      </c>
      <c r="J6814" s="27">
        <f>Tabela1[[#This Row],[MARGEM BRUTA]]/Tabela1[[#This Row],[Valor total]]</f>
        <v>0.40277777777777779</v>
      </c>
      <c r="K6814" s="26" t="str">
        <f>VLOOKUP(Tabela1[[#This Row],[Cliente]],'BASE DE CLIENTES'!A:D,4,0)</f>
        <v>EMPRESA COM MAQUINA</v>
      </c>
      <c r="L6814" s="26" t="str">
        <f>VLOOKUP(Tabela1[[#This Row],[Cliente]],'BASE DE CLIENTES'!A:E,5,0)</f>
        <v>Valparaíso de Goiás</v>
      </c>
    </row>
    <row r="6815" spans="2:12" x14ac:dyDescent="0.3">
      <c r="B6815" t="s">
        <v>52</v>
      </c>
      <c r="C6815" s="26" t="str">
        <f>VLOOKUP(Tabela1[[#This Row],[Cliente]],'BASE DE CLIENTES'!A:E,2,0)</f>
        <v>Brasília</v>
      </c>
      <c r="D6815" s="26" t="str">
        <f>VLOOKUP(Tabela1[[#This Row],[Cliente]],'BASE DE CLIENTES'!A:C,3,0)</f>
        <v>DF</v>
      </c>
      <c r="E6815" s="26" t="str">
        <f>CONCATENATE(Tabela1[[#This Row],[CIDADE]],",",Tabela1[[#This Row],[UF]])</f>
        <v>Brasília,DF</v>
      </c>
      <c r="F6815" s="12">
        <v>46224</v>
      </c>
      <c r="G6815" s="14">
        <v>924.88</v>
      </c>
      <c r="H6815" s="13">
        <v>1775</v>
      </c>
      <c r="I6815" s="7">
        <f>Tabela1[[#This Row],[Valor total]]-Tabela1[[#This Row],[Valor custo]]</f>
        <v>850.12</v>
      </c>
      <c r="J6815" s="27">
        <f>Tabela1[[#This Row],[MARGEM BRUTA]]/Tabela1[[#This Row],[Valor total]]</f>
        <v>0.47894084507042256</v>
      </c>
      <c r="K6815" s="26" t="str">
        <f>VLOOKUP(Tabela1[[#This Row],[Cliente]],'BASE DE CLIENTES'!A:D,4,0)</f>
        <v>SERRALHEIRO</v>
      </c>
      <c r="L6815" s="26" t="str">
        <f>VLOOKUP(Tabela1[[#This Row],[Cliente]],'BASE DE CLIENTES'!A:E,5,0)</f>
        <v>Ceilândia Sul (Ceilândia)</v>
      </c>
    </row>
    <row r="6816" spans="2:12" x14ac:dyDescent="0.3">
      <c r="B6816" t="s">
        <v>321</v>
      </c>
      <c r="C6816" s="26" t="str">
        <f>VLOOKUP(Tabela1[[#This Row],[Cliente]],'BASE DE CLIENTES'!A:E,2,0)</f>
        <v>Valparaíso de Goiás</v>
      </c>
      <c r="D6816" s="26" t="str">
        <f>VLOOKUP(Tabela1[[#This Row],[Cliente]],'BASE DE CLIENTES'!A:C,3,0)</f>
        <v>GO</v>
      </c>
      <c r="E6816" s="26" t="str">
        <f>CONCATENATE(Tabela1[[#This Row],[CIDADE]],",",Tabela1[[#This Row],[UF]])</f>
        <v>Valparaíso de Goiás,GO</v>
      </c>
      <c r="F6816" s="12">
        <v>46223</v>
      </c>
      <c r="G6816" s="14">
        <v>2193.69</v>
      </c>
      <c r="H6816" s="13">
        <v>3865</v>
      </c>
      <c r="I6816" s="7">
        <f>Tabela1[[#This Row],[Valor total]]-Tabela1[[#This Row],[Valor custo]]</f>
        <v>1671.31</v>
      </c>
      <c r="J6816" s="27">
        <f>Tabela1[[#This Row],[MARGEM BRUTA]]/Tabela1[[#This Row],[Valor total]]</f>
        <v>0.43242173350582147</v>
      </c>
      <c r="K6816" s="26" t="str">
        <f>VLOOKUP(Tabela1[[#This Row],[Cliente]],'BASE DE CLIENTES'!A:D,4,0)</f>
        <v>EMPRESA COM MAQUINA</v>
      </c>
      <c r="L6816" s="26" t="str">
        <f>VLOOKUP(Tabela1[[#This Row],[Cliente]],'BASE DE CLIENTES'!A:E,5,0)</f>
        <v>Valparaíso de Goiás</v>
      </c>
    </row>
    <row r="6817" spans="2:12" x14ac:dyDescent="0.3">
      <c r="B6817" t="s">
        <v>1305</v>
      </c>
      <c r="C6817" s="26" t="str">
        <f>VLOOKUP(Tabela1[[#This Row],[Cliente]],'BASE DE CLIENTES'!A:E,2,0)</f>
        <v>Brasília</v>
      </c>
      <c r="D6817" s="26" t="str">
        <f>VLOOKUP(Tabela1[[#This Row],[Cliente]],'BASE DE CLIENTES'!A:C,3,0)</f>
        <v>DF</v>
      </c>
      <c r="E6817" s="26" t="str">
        <f>CONCATENATE(Tabela1[[#This Row],[CIDADE]],",",Tabela1[[#This Row],[UF]])</f>
        <v>Brasília,DF</v>
      </c>
      <c r="F6817" s="12">
        <v>46223</v>
      </c>
      <c r="G6817" s="14">
        <v>104.28</v>
      </c>
      <c r="H6817" s="13">
        <v>310</v>
      </c>
      <c r="I6817" s="7">
        <f>Tabela1[[#This Row],[Valor total]]-Tabela1[[#This Row],[Valor custo]]</f>
        <v>205.72</v>
      </c>
      <c r="J6817" s="27">
        <f>Tabela1[[#This Row],[MARGEM BRUTA]]/Tabela1[[#This Row],[Valor total]]</f>
        <v>0.66361290322580646</v>
      </c>
      <c r="K6817" s="26" t="str">
        <f>VLOOKUP(Tabela1[[#This Row],[Cliente]],'BASE DE CLIENTES'!A:D,4,0)</f>
        <v>CLIENTE NOVO S/ IDENT.</v>
      </c>
      <c r="L6817" s="26" t="str">
        <f>VLOOKUP(Tabela1[[#This Row],[Cliente]],'BASE DE CLIENTES'!A:E,5,0)</f>
        <v>BRAZLÂNDIA</v>
      </c>
    </row>
    <row r="6818" spans="2:12" x14ac:dyDescent="0.3">
      <c r="B6818" t="s">
        <v>88</v>
      </c>
      <c r="C6818" s="26" t="str">
        <f>VLOOKUP(Tabela1[[#This Row],[Cliente]],'BASE DE CLIENTES'!A:E,2,0)</f>
        <v>Brasília</v>
      </c>
      <c r="D6818" s="26" t="str">
        <f>VLOOKUP(Tabela1[[#This Row],[Cliente]],'BASE DE CLIENTES'!A:C,3,0)</f>
        <v>DF</v>
      </c>
      <c r="E6818" s="26" t="str">
        <f>CONCATENATE(Tabela1[[#This Row],[CIDADE]],",",Tabela1[[#This Row],[UF]])</f>
        <v>Brasília,DF</v>
      </c>
      <c r="F6818" s="12">
        <v>46223</v>
      </c>
      <c r="G6818" s="14">
        <v>1075</v>
      </c>
      <c r="H6818" s="13">
        <v>1865</v>
      </c>
      <c r="I6818" s="7">
        <f>Tabela1[[#This Row],[Valor total]]-Tabela1[[#This Row],[Valor custo]]</f>
        <v>790</v>
      </c>
      <c r="J6818" s="27">
        <f>Tabela1[[#This Row],[MARGEM BRUTA]]/Tabela1[[#This Row],[Valor total]]</f>
        <v>0.42359249329758714</v>
      </c>
      <c r="K6818" s="26" t="str">
        <f>VLOOKUP(Tabela1[[#This Row],[Cliente]],'BASE DE CLIENTES'!A:D,4,0)</f>
        <v>SERRALHEIRO</v>
      </c>
      <c r="L6818" s="26" t="str">
        <f>VLOOKUP(Tabela1[[#This Row],[Cliente]],'BASE DE CLIENTES'!A:E,5,0)</f>
        <v>RECANTO DAS EMAS</v>
      </c>
    </row>
    <row r="6819" spans="2:12" x14ac:dyDescent="0.3">
      <c r="B6819" t="s">
        <v>117</v>
      </c>
      <c r="C6819" s="26" t="str">
        <f>VLOOKUP(Tabela1[[#This Row],[Cliente]],'BASE DE CLIENTES'!A:E,2,0)</f>
        <v>Brasília</v>
      </c>
      <c r="D6819" s="26" t="str">
        <f>VLOOKUP(Tabela1[[#This Row],[Cliente]],'BASE DE CLIENTES'!A:C,3,0)</f>
        <v>DF</v>
      </c>
      <c r="E6819" s="26" t="str">
        <f>CONCATENATE(Tabela1[[#This Row],[CIDADE]],",",Tabela1[[#This Row],[UF]])</f>
        <v>Brasília,DF</v>
      </c>
      <c r="F6819" s="12">
        <v>46223</v>
      </c>
      <c r="G6819" s="14">
        <v>281.39999999999998</v>
      </c>
      <c r="H6819" s="13">
        <v>675</v>
      </c>
      <c r="I6819" s="7">
        <f>Tabela1[[#This Row],[Valor total]]-Tabela1[[#This Row],[Valor custo]]</f>
        <v>393.6</v>
      </c>
      <c r="J6819" s="27">
        <f>Tabela1[[#This Row],[MARGEM BRUTA]]/Tabela1[[#This Row],[Valor total]]</f>
        <v>0.58311111111111114</v>
      </c>
      <c r="K6819" s="26" t="str">
        <f>VLOOKUP(Tabela1[[#This Row],[Cliente]],'BASE DE CLIENTES'!A:D,4,0)</f>
        <v>EMPRESA COM MAQUINA</v>
      </c>
      <c r="L6819" s="26" t="str">
        <f>VLOOKUP(Tabela1[[#This Row],[Cliente]],'BASE DE CLIENTES'!A:E,5,0)</f>
        <v>SETOR HABITACIONAL ARNIQUEIRA (AGUAS CLARAS)</v>
      </c>
    </row>
    <row r="6820" spans="2:12" x14ac:dyDescent="0.3">
      <c r="B6820" t="s">
        <v>68</v>
      </c>
      <c r="C6820" s="26" t="str">
        <f>VLOOKUP(Tabela1[[#This Row],[Cliente]],'BASE DE CLIENTES'!A:E,2,0)</f>
        <v>Brasília</v>
      </c>
      <c r="D6820" s="26" t="str">
        <f>VLOOKUP(Tabela1[[#This Row],[Cliente]],'BASE DE CLIENTES'!A:C,3,0)</f>
        <v>DF</v>
      </c>
      <c r="E6820" s="26" t="str">
        <f>CONCATENATE(Tabela1[[#This Row],[CIDADE]],",",Tabela1[[#This Row],[UF]])</f>
        <v>Brasília,DF</v>
      </c>
      <c r="F6820" s="12">
        <v>46223</v>
      </c>
      <c r="G6820" s="14">
        <v>46.5</v>
      </c>
      <c r="H6820" s="13">
        <v>75</v>
      </c>
      <c r="I6820" s="7">
        <f>Tabela1[[#This Row],[Valor total]]-Tabela1[[#This Row],[Valor custo]]</f>
        <v>28.5</v>
      </c>
      <c r="J6820" s="27">
        <f>Tabela1[[#This Row],[MARGEM BRUTA]]/Tabela1[[#This Row],[Valor total]]</f>
        <v>0.38</v>
      </c>
      <c r="K6820" s="26" t="str">
        <f>VLOOKUP(Tabela1[[#This Row],[Cliente]],'BASE DE CLIENTES'!A:D,4,0)</f>
        <v>EMPRESA COM MAQUINA</v>
      </c>
      <c r="L6820" s="26" t="str">
        <f>VLOOKUP(Tabela1[[#This Row],[Cliente]],'BASE DE CLIENTES'!A:E,5,0)</f>
        <v>SAMAMBAIA SUL (SAMAMBAIA)</v>
      </c>
    </row>
    <row r="6821" spans="2:12" x14ac:dyDescent="0.3">
      <c r="B6821" t="s">
        <v>255</v>
      </c>
      <c r="C6821" s="26" t="str">
        <f>VLOOKUP(Tabela1[[#This Row],[Cliente]],'BASE DE CLIENTES'!A:E,2,0)</f>
        <v>Brasília</v>
      </c>
      <c r="D6821" s="26" t="str">
        <f>VLOOKUP(Tabela1[[#This Row],[Cliente]],'BASE DE CLIENTES'!A:C,3,0)</f>
        <v>DF</v>
      </c>
      <c r="E6821" s="26" t="str">
        <f>CONCATENATE(Tabela1[[#This Row],[CIDADE]],",",Tabela1[[#This Row],[UF]])</f>
        <v>Brasília,DF</v>
      </c>
      <c r="F6821" s="12">
        <v>46223</v>
      </c>
      <c r="G6821" s="14">
        <v>463.69</v>
      </c>
      <c r="H6821" s="13">
        <v>750</v>
      </c>
      <c r="I6821" s="7">
        <f>Tabela1[[#This Row],[Valor total]]-Tabela1[[#This Row],[Valor custo]]</f>
        <v>286.31</v>
      </c>
      <c r="J6821" s="27">
        <f>Tabela1[[#This Row],[MARGEM BRUTA]]/Tabela1[[#This Row],[Valor total]]</f>
        <v>0.38174666666666668</v>
      </c>
      <c r="K6821" s="26" t="str">
        <f>VLOOKUP(Tabela1[[#This Row],[Cliente]],'BASE DE CLIENTES'!A:D,4,0)</f>
        <v>EMPRESA COM MAQUINA</v>
      </c>
      <c r="L6821" s="26" t="str">
        <f>VLOOKUP(Tabela1[[#This Row],[Cliente]],'BASE DE CLIENTES'!A:E,5,0)</f>
        <v>ADE ÁGUAS CLARAS</v>
      </c>
    </row>
    <row r="6822" spans="2:12" x14ac:dyDescent="0.3">
      <c r="B6822" t="s">
        <v>1176</v>
      </c>
      <c r="C6822" s="26" t="str">
        <f>VLOOKUP(Tabela1[[#This Row],[Cliente]],'BASE DE CLIENTES'!A:E,2,0)</f>
        <v>Brasília</v>
      </c>
      <c r="D6822" s="26" t="str">
        <f>VLOOKUP(Tabela1[[#This Row],[Cliente]],'BASE DE CLIENTES'!A:C,3,0)</f>
        <v>DF</v>
      </c>
      <c r="E6822" s="26" t="str">
        <f>CONCATENATE(Tabela1[[#This Row],[CIDADE]],",",Tabela1[[#This Row],[UF]])</f>
        <v>Brasília,DF</v>
      </c>
      <c r="F6822" s="12">
        <v>46223</v>
      </c>
      <c r="G6822" s="14">
        <v>3800</v>
      </c>
      <c r="H6822" s="13">
        <v>7500</v>
      </c>
      <c r="I6822" s="7">
        <f>Tabela1[[#This Row],[Valor total]]-Tabela1[[#This Row],[Valor custo]]</f>
        <v>3700</v>
      </c>
      <c r="J6822" s="27">
        <f>Tabela1[[#This Row],[MARGEM BRUTA]]/Tabela1[[#This Row],[Valor total]]</f>
        <v>0.49333333333333335</v>
      </c>
      <c r="K6822" s="26" t="str">
        <f>VLOOKUP(Tabela1[[#This Row],[Cliente]],'BASE DE CLIENTES'!A:D,4,0)</f>
        <v>CLIENTE NOVO S/ IDENT.</v>
      </c>
      <c r="L6822" s="26" t="str">
        <f>VLOOKUP(Tabela1[[#This Row],[Cliente]],'BASE DE CLIENTES'!A:E,5,0)</f>
        <v>TAGUATINGA</v>
      </c>
    </row>
    <row r="6823" spans="2:12" x14ac:dyDescent="0.3">
      <c r="B6823" t="s">
        <v>112</v>
      </c>
      <c r="C6823" s="26" t="str">
        <f>VLOOKUP(Tabela1[[#This Row],[Cliente]],'BASE DE CLIENTES'!A:E,2,0)</f>
        <v>Brasília</v>
      </c>
      <c r="D6823" s="26" t="str">
        <f>VLOOKUP(Tabela1[[#This Row],[Cliente]],'BASE DE CLIENTES'!A:C,3,0)</f>
        <v>DF</v>
      </c>
      <c r="E6823" s="26" t="str">
        <f>CONCATENATE(Tabela1[[#This Row],[CIDADE]],",",Tabela1[[#This Row],[UF]])</f>
        <v>Brasília,DF</v>
      </c>
      <c r="F6823" s="12">
        <v>46223</v>
      </c>
      <c r="G6823" s="14">
        <v>1194.2</v>
      </c>
      <c r="H6823" s="13">
        <v>2070</v>
      </c>
      <c r="I6823" s="7">
        <f>Tabela1[[#This Row],[Valor total]]-Tabela1[[#This Row],[Valor custo]]</f>
        <v>875.8</v>
      </c>
      <c r="J6823" s="27">
        <f>Tabela1[[#This Row],[MARGEM BRUTA]]/Tabela1[[#This Row],[Valor total]]</f>
        <v>0.42309178743961351</v>
      </c>
      <c r="K6823" s="26" t="str">
        <f>VLOOKUP(Tabela1[[#This Row],[Cliente]],'BASE DE CLIENTES'!A:D,4,0)</f>
        <v>SERRALHEIRO</v>
      </c>
      <c r="L6823" s="26" t="str">
        <f>VLOOKUP(Tabela1[[#This Row],[Cliente]],'BASE DE CLIENTES'!A:E,5,0)</f>
        <v>RIACHO FUNDO I</v>
      </c>
    </row>
    <row r="6824" spans="2:12" x14ac:dyDescent="0.3">
      <c r="B6824" t="s">
        <v>276</v>
      </c>
      <c r="C6824" s="26" t="str">
        <f>VLOOKUP(Tabela1[[#This Row],[Cliente]],'BASE DE CLIENTES'!A:E,2,0)</f>
        <v>Parauapebas</v>
      </c>
      <c r="D6824" s="26" t="str">
        <f>VLOOKUP(Tabela1[[#This Row],[Cliente]],'BASE DE CLIENTES'!A:C,3,0)</f>
        <v>PA</v>
      </c>
      <c r="E6824" s="26" t="str">
        <f>CONCATENATE(Tabela1[[#This Row],[CIDADE]],",",Tabela1[[#This Row],[UF]])</f>
        <v>Parauapebas,PA</v>
      </c>
      <c r="F6824" s="12">
        <v>46223</v>
      </c>
      <c r="G6824" s="14">
        <v>8209.2099999999991</v>
      </c>
      <c r="H6824" s="13">
        <v>13175</v>
      </c>
      <c r="I6824" s="7">
        <f>Tabela1[[#This Row],[Valor total]]-Tabela1[[#This Row],[Valor custo]]</f>
        <v>4965.7900000000009</v>
      </c>
      <c r="J6824" s="27">
        <f>Tabela1[[#This Row],[MARGEM BRUTA]]/Tabela1[[#This Row],[Valor total]]</f>
        <v>0.37691005692599627</v>
      </c>
      <c r="K6824" s="26" t="str">
        <f>VLOOKUP(Tabela1[[#This Row],[Cliente]],'BASE DE CLIENTES'!A:D,4,0)</f>
        <v>EMPRESA COM MAQUINA</v>
      </c>
      <c r="L6824" s="26" t="str">
        <f>VLOOKUP(Tabela1[[#This Row],[Cliente]],'BASE DE CLIENTES'!A:E,5,0)</f>
        <v>Parauapebas</v>
      </c>
    </row>
    <row r="6825" spans="2:12" x14ac:dyDescent="0.3">
      <c r="B6825" t="s">
        <v>97</v>
      </c>
      <c r="C6825" s="26" t="str">
        <f>VLOOKUP(Tabela1[[#This Row],[Cliente]],'BASE DE CLIENTES'!A:E,2,0)</f>
        <v>Brasília</v>
      </c>
      <c r="D6825" s="26" t="str">
        <f>VLOOKUP(Tabela1[[#This Row],[Cliente]],'BASE DE CLIENTES'!A:C,3,0)</f>
        <v>DF</v>
      </c>
      <c r="E6825" s="26" t="str">
        <f>CONCATENATE(Tabela1[[#This Row],[CIDADE]],",",Tabela1[[#This Row],[UF]])</f>
        <v>Brasília,DF</v>
      </c>
      <c r="F6825" s="12">
        <v>46223</v>
      </c>
      <c r="G6825" s="14">
        <v>546.79</v>
      </c>
      <c r="H6825" s="13">
        <v>795</v>
      </c>
      <c r="I6825" s="7">
        <f>Tabela1[[#This Row],[Valor total]]-Tabela1[[#This Row],[Valor custo]]</f>
        <v>248.21000000000004</v>
      </c>
      <c r="J6825" s="27">
        <f>Tabela1[[#This Row],[MARGEM BRUTA]]/Tabela1[[#This Row],[Valor total]]</f>
        <v>0.31221383647798745</v>
      </c>
      <c r="K6825" s="26" t="str">
        <f>VLOOKUP(Tabela1[[#This Row],[Cliente]],'BASE DE CLIENTES'!A:D,4,0)</f>
        <v>SERRALHEIRO</v>
      </c>
      <c r="L6825" s="26" t="str">
        <f>VLOOKUP(Tabela1[[#This Row],[Cliente]],'BASE DE CLIENTES'!A:E,5,0)</f>
        <v>CEILANDIA NORTE</v>
      </c>
    </row>
    <row r="6826" spans="2:12" x14ac:dyDescent="0.3">
      <c r="B6826" t="s">
        <v>161</v>
      </c>
      <c r="C6826" s="26" t="str">
        <f>VLOOKUP(Tabela1[[#This Row],[Cliente]],'BASE DE CLIENTES'!A:E,2,0)</f>
        <v>Brasília</v>
      </c>
      <c r="D6826" s="26" t="str">
        <f>VLOOKUP(Tabela1[[#This Row],[Cliente]],'BASE DE CLIENTES'!A:C,3,0)</f>
        <v>DF</v>
      </c>
      <c r="E6826" s="26" t="str">
        <f>CONCATENATE(Tabela1[[#This Row],[CIDADE]],",",Tabela1[[#This Row],[UF]])</f>
        <v>Brasília,DF</v>
      </c>
      <c r="F6826" s="12">
        <v>46223</v>
      </c>
      <c r="G6826" s="14">
        <v>10921.9</v>
      </c>
      <c r="H6826" s="13">
        <v>16250</v>
      </c>
      <c r="I6826" s="7">
        <f>Tabela1[[#This Row],[Valor total]]-Tabela1[[#This Row],[Valor custo]]</f>
        <v>5328.1</v>
      </c>
      <c r="J6826" s="27">
        <f>Tabela1[[#This Row],[MARGEM BRUTA]]/Tabela1[[#This Row],[Valor total]]</f>
        <v>0.32788307692307694</v>
      </c>
      <c r="K6826" s="26" t="str">
        <f>VLOOKUP(Tabela1[[#This Row],[Cliente]],'BASE DE CLIENTES'!A:D,4,0)</f>
        <v>EMPRESA COM MAQUINA</v>
      </c>
      <c r="L6826" s="26" t="str">
        <f>VLOOKUP(Tabela1[[#This Row],[Cliente]],'BASE DE CLIENTES'!A:E,5,0)</f>
        <v>RIACHO FUNDO II</v>
      </c>
    </row>
    <row r="6827" spans="2:12" x14ac:dyDescent="0.3">
      <c r="B6827" t="s">
        <v>1223</v>
      </c>
      <c r="C6827" s="26" t="str">
        <f>VLOOKUP(Tabela1[[#This Row],[Cliente]],'BASE DE CLIENTES'!A:E,2,0)</f>
        <v>MERCADO LIVRE</v>
      </c>
      <c r="D6827" s="26" t="str">
        <f>VLOOKUP(Tabela1[[#This Row],[Cliente]],'BASE DE CLIENTES'!A:C,3,0)</f>
        <v>MERCADO LIVRE</v>
      </c>
      <c r="E6827" s="26" t="str">
        <f>CONCATENATE(Tabela1[[#This Row],[CIDADE]],",",Tabela1[[#This Row],[UF]])</f>
        <v>MERCADO LIVRE,MERCADO LIVRE</v>
      </c>
      <c r="F6827" s="12">
        <v>46223</v>
      </c>
      <c r="G6827" s="14">
        <v>56.28</v>
      </c>
      <c r="H6827" s="13">
        <v>219.6</v>
      </c>
      <c r="I6827" s="7">
        <f>Tabela1[[#This Row],[Valor total]]-Tabela1[[#This Row],[Valor custo]]</f>
        <v>163.32</v>
      </c>
      <c r="J6827" s="27">
        <f>Tabela1[[#This Row],[MARGEM BRUTA]]/Tabela1[[#This Row],[Valor total]]</f>
        <v>0.74371584699453552</v>
      </c>
      <c r="K6827" s="26" t="str">
        <f>VLOOKUP(Tabela1[[#This Row],[Cliente]],'BASE DE CLIENTES'!A:D,4,0)</f>
        <v>OUTROS RAMOS</v>
      </c>
      <c r="L6827" s="26" t="str">
        <f>VLOOKUP(Tabela1[[#This Row],[Cliente]],'BASE DE CLIENTES'!A:E,5,0)</f>
        <v>MERCADO LIVRE</v>
      </c>
    </row>
    <row r="6828" spans="2:12" x14ac:dyDescent="0.3">
      <c r="B6828" t="s">
        <v>262</v>
      </c>
      <c r="C6828" s="26" t="str">
        <f>VLOOKUP(Tabela1[[#This Row],[Cliente]],'BASE DE CLIENTES'!A:E,2,0)</f>
        <v>Brasília</v>
      </c>
      <c r="D6828" s="26" t="str">
        <f>VLOOKUP(Tabela1[[#This Row],[Cliente]],'BASE DE CLIENTES'!A:C,3,0)</f>
        <v>DF</v>
      </c>
      <c r="E6828" s="26" t="str">
        <f>CONCATENATE(Tabela1[[#This Row],[CIDADE]],",",Tabela1[[#This Row],[UF]])</f>
        <v>Brasília,DF</v>
      </c>
      <c r="F6828" s="12">
        <v>46223</v>
      </c>
      <c r="G6828" s="14">
        <v>56.28</v>
      </c>
      <c r="H6828" s="13">
        <v>200</v>
      </c>
      <c r="I6828" s="7">
        <f>Tabela1[[#This Row],[Valor total]]-Tabela1[[#This Row],[Valor custo]]</f>
        <v>143.72</v>
      </c>
      <c r="J6828" s="27">
        <f>Tabela1[[#This Row],[MARGEM BRUTA]]/Tabela1[[#This Row],[Valor total]]</f>
        <v>0.71860000000000002</v>
      </c>
      <c r="K6828" s="26" t="str">
        <f>VLOOKUP(Tabela1[[#This Row],[Cliente]],'BASE DE CLIENTES'!A:D,4,0)</f>
        <v>SERRALHEIRO</v>
      </c>
      <c r="L6828" s="26" t="str">
        <f>VLOOKUP(Tabela1[[#This Row],[Cliente]],'BASE DE CLIENTES'!A:E,5,0)</f>
        <v>SETOR INDUSTRIAL (TAGUATINGA)</v>
      </c>
    </row>
    <row r="6829" spans="2:12" x14ac:dyDescent="0.3">
      <c r="B6829" t="s">
        <v>141</v>
      </c>
      <c r="C6829" s="26" t="str">
        <f>VLOOKUP(Tabela1[[#This Row],[Cliente]],'BASE DE CLIENTES'!A:E,2,0)</f>
        <v>Brasília</v>
      </c>
      <c r="D6829" s="26" t="str">
        <f>VLOOKUP(Tabela1[[#This Row],[Cliente]],'BASE DE CLIENTES'!A:C,3,0)</f>
        <v>DF</v>
      </c>
      <c r="E6829" s="26" t="str">
        <f>CONCATENATE(Tabela1[[#This Row],[CIDADE]],",",Tabela1[[#This Row],[UF]])</f>
        <v>Brasília,DF</v>
      </c>
      <c r="F6829" s="12">
        <v>46223</v>
      </c>
      <c r="G6829" s="14">
        <v>4562.5600000000004</v>
      </c>
      <c r="H6829" s="13">
        <v>7190</v>
      </c>
      <c r="I6829" s="7">
        <f>Tabela1[[#This Row],[Valor total]]-Tabela1[[#This Row],[Valor custo]]</f>
        <v>2627.4399999999996</v>
      </c>
      <c r="J6829" s="27">
        <f>Tabela1[[#This Row],[MARGEM BRUTA]]/Tabela1[[#This Row],[Valor total]]</f>
        <v>0.36542976356050066</v>
      </c>
      <c r="K6829" s="26" t="str">
        <f>VLOOKUP(Tabela1[[#This Row],[Cliente]],'BASE DE CLIENTES'!A:D,4,0)</f>
        <v>EMPRESA COM MAQUINA</v>
      </c>
      <c r="L6829" s="26" t="str">
        <f>VLOOKUP(Tabela1[[#This Row],[Cliente]],'BASE DE CLIENTES'!A:E,5,0)</f>
        <v>TAGUATINGA</v>
      </c>
    </row>
    <row r="6830" spans="2:12" x14ac:dyDescent="0.3">
      <c r="B6830" t="s">
        <v>27</v>
      </c>
      <c r="C6830" s="26" t="str">
        <f>VLOOKUP(Tabela1[[#This Row],[Cliente]],'BASE DE CLIENTES'!A:E,2,0)</f>
        <v>Brasília</v>
      </c>
      <c r="D6830" s="26" t="str">
        <f>VLOOKUP(Tabela1[[#This Row],[Cliente]],'BASE DE CLIENTES'!A:C,3,0)</f>
        <v>DF</v>
      </c>
      <c r="E6830" s="26" t="str">
        <f>CONCATENATE(Tabela1[[#This Row],[CIDADE]],",",Tabela1[[#This Row],[UF]])</f>
        <v>Brasília,DF</v>
      </c>
      <c r="F6830" s="12">
        <v>46223</v>
      </c>
      <c r="G6830" s="14">
        <v>1520</v>
      </c>
      <c r="H6830" s="13">
        <v>2460</v>
      </c>
      <c r="I6830" s="7">
        <f>Tabela1[[#This Row],[Valor total]]-Tabela1[[#This Row],[Valor custo]]</f>
        <v>940</v>
      </c>
      <c r="J6830" s="27">
        <f>Tabela1[[#This Row],[MARGEM BRUTA]]/Tabela1[[#This Row],[Valor total]]</f>
        <v>0.38211382113821141</v>
      </c>
      <c r="K6830" s="26" t="str">
        <f>VLOOKUP(Tabela1[[#This Row],[Cliente]],'BASE DE CLIENTES'!A:D,4,0)</f>
        <v>EMPRESA SEM MAQUINA</v>
      </c>
      <c r="L6830" s="26" t="str">
        <f>VLOOKUP(Tabela1[[#This Row],[Cliente]],'BASE DE CLIENTES'!A:E,5,0)</f>
        <v>RECANTO DAS EMAS</v>
      </c>
    </row>
    <row r="6831" spans="2:12" x14ac:dyDescent="0.3">
      <c r="B6831" t="s">
        <v>117</v>
      </c>
      <c r="C6831" s="26" t="str">
        <f>VLOOKUP(Tabela1[[#This Row],[Cliente]],'BASE DE CLIENTES'!A:E,2,0)</f>
        <v>Brasília</v>
      </c>
      <c r="D6831" s="26" t="str">
        <f>VLOOKUP(Tabela1[[#This Row],[Cliente]],'BASE DE CLIENTES'!A:C,3,0)</f>
        <v>DF</v>
      </c>
      <c r="E6831" s="26" t="str">
        <f>CONCATENATE(Tabela1[[#This Row],[CIDADE]],",",Tabela1[[#This Row],[UF]])</f>
        <v>Brasília,DF</v>
      </c>
      <c r="F6831" s="12">
        <v>46223</v>
      </c>
      <c r="G6831" s="14">
        <v>1384.79</v>
      </c>
      <c r="H6831" s="13">
        <v>2000</v>
      </c>
      <c r="I6831" s="7">
        <f>Tabela1[[#This Row],[Valor total]]-Tabela1[[#This Row],[Valor custo]]</f>
        <v>615.21</v>
      </c>
      <c r="J6831" s="27">
        <f>Tabela1[[#This Row],[MARGEM BRUTA]]/Tabela1[[#This Row],[Valor total]]</f>
        <v>0.30760500000000002</v>
      </c>
      <c r="K6831" s="26" t="str">
        <f>VLOOKUP(Tabela1[[#This Row],[Cliente]],'BASE DE CLIENTES'!A:D,4,0)</f>
        <v>EMPRESA COM MAQUINA</v>
      </c>
      <c r="L6831" s="26" t="str">
        <f>VLOOKUP(Tabela1[[#This Row],[Cliente]],'BASE DE CLIENTES'!A:E,5,0)</f>
        <v>SETOR HABITACIONAL ARNIQUEIRA (AGUAS CLARAS)</v>
      </c>
    </row>
    <row r="6832" spans="2:12" x14ac:dyDescent="0.3">
      <c r="B6832" t="s">
        <v>184</v>
      </c>
      <c r="C6832" s="26" t="str">
        <f>VLOOKUP(Tabela1[[#This Row],[Cliente]],'BASE DE CLIENTES'!A:E,2,0)</f>
        <v>Castanhal</v>
      </c>
      <c r="D6832" s="26" t="str">
        <f>VLOOKUP(Tabela1[[#This Row],[Cliente]],'BASE DE CLIENTES'!A:C,3,0)</f>
        <v>PA</v>
      </c>
      <c r="E6832" s="26" t="str">
        <f>CONCATENATE(Tabela1[[#This Row],[CIDADE]],",",Tabela1[[#This Row],[UF]])</f>
        <v>Castanhal,PA</v>
      </c>
      <c r="F6832" s="12">
        <v>46223</v>
      </c>
      <c r="G6832" s="14">
        <v>16127.53</v>
      </c>
      <c r="H6832" s="13">
        <v>25425</v>
      </c>
      <c r="I6832" s="7">
        <f>Tabela1[[#This Row],[Valor total]]-Tabela1[[#This Row],[Valor custo]]</f>
        <v>9297.4699999999993</v>
      </c>
      <c r="J6832" s="27">
        <f>Tabela1[[#This Row],[MARGEM BRUTA]]/Tabela1[[#This Row],[Valor total]]</f>
        <v>0.36568220255653883</v>
      </c>
      <c r="K6832" s="26" t="str">
        <f>VLOOKUP(Tabela1[[#This Row],[Cliente]],'BASE DE CLIENTES'!A:D,4,0)</f>
        <v>EMPRESA COM MAQUINA</v>
      </c>
      <c r="L6832" s="26" t="str">
        <f>VLOOKUP(Tabela1[[#This Row],[Cliente]],'BASE DE CLIENTES'!A:E,5,0)</f>
        <v>Castanhal</v>
      </c>
    </row>
    <row r="6833" spans="2:12" x14ac:dyDescent="0.3">
      <c r="B6833" t="s">
        <v>23</v>
      </c>
      <c r="C6833" s="26" t="str">
        <f>VLOOKUP(Tabela1[[#This Row],[Cliente]],'BASE DE CLIENTES'!A:E,2,0)</f>
        <v>Brasília</v>
      </c>
      <c r="D6833" s="26" t="str">
        <f>VLOOKUP(Tabela1[[#This Row],[Cliente]],'BASE DE CLIENTES'!A:C,3,0)</f>
        <v>DF</v>
      </c>
      <c r="E6833" s="26" t="str">
        <f>CONCATENATE(Tabela1[[#This Row],[CIDADE]],",",Tabela1[[#This Row],[UF]])</f>
        <v>Brasília,DF</v>
      </c>
      <c r="F6833" s="12">
        <v>46223</v>
      </c>
      <c r="G6833" s="14">
        <v>866.18</v>
      </c>
      <c r="H6833" s="13">
        <v>1340</v>
      </c>
      <c r="I6833" s="7">
        <f>Tabela1[[#This Row],[Valor total]]-Tabela1[[#This Row],[Valor custo]]</f>
        <v>473.82000000000005</v>
      </c>
      <c r="J6833" s="27">
        <f>Tabela1[[#This Row],[MARGEM BRUTA]]/Tabela1[[#This Row],[Valor total]]</f>
        <v>0.35359701492537315</v>
      </c>
      <c r="K6833" s="26" t="str">
        <f>VLOOKUP(Tabela1[[#This Row],[Cliente]],'BASE DE CLIENTES'!A:D,4,0)</f>
        <v>EMPRESA SEM MAQUINA</v>
      </c>
      <c r="L6833" s="26" t="str">
        <f>VLOOKUP(Tabela1[[#This Row],[Cliente]],'BASE DE CLIENTES'!A:E,5,0)</f>
        <v>SETOR INDUSTRIAL (TAGUATINGA)</v>
      </c>
    </row>
    <row r="6834" spans="2:12" x14ac:dyDescent="0.3">
      <c r="B6834" t="s">
        <v>111</v>
      </c>
      <c r="C6834" s="26" t="str">
        <f>VLOOKUP(Tabela1[[#This Row],[Cliente]],'BASE DE CLIENTES'!A:E,2,0)</f>
        <v>Brasília</v>
      </c>
      <c r="D6834" s="26" t="str">
        <f>VLOOKUP(Tabela1[[#This Row],[Cliente]],'BASE DE CLIENTES'!A:C,3,0)</f>
        <v>DF</v>
      </c>
      <c r="E6834" s="26" t="str">
        <f>CONCATENATE(Tabela1[[#This Row],[CIDADE]],",",Tabela1[[#This Row],[UF]])</f>
        <v>Brasília,DF</v>
      </c>
      <c r="F6834" s="12">
        <v>46223</v>
      </c>
      <c r="G6834" s="14">
        <v>1216.79</v>
      </c>
      <c r="H6834" s="13">
        <v>1720</v>
      </c>
      <c r="I6834" s="7">
        <f>Tabela1[[#This Row],[Valor total]]-Tabela1[[#This Row],[Valor custo]]</f>
        <v>503.21000000000004</v>
      </c>
      <c r="J6834" s="27">
        <f>Tabela1[[#This Row],[MARGEM BRUTA]]/Tabela1[[#This Row],[Valor total]]</f>
        <v>0.29256395348837211</v>
      </c>
      <c r="K6834" s="26" t="str">
        <f>VLOOKUP(Tabela1[[#This Row],[Cliente]],'BASE DE CLIENTES'!A:D,4,0)</f>
        <v>EMPRESA SEM MAQUINA</v>
      </c>
      <c r="L6834" s="26" t="str">
        <f>VLOOKUP(Tabela1[[#This Row],[Cliente]],'BASE DE CLIENTES'!A:E,5,0)</f>
        <v>TAGUATINGA SUL (TAGUATINGA)</v>
      </c>
    </row>
    <row r="6835" spans="2:12" x14ac:dyDescent="0.3">
      <c r="B6835" t="s">
        <v>322</v>
      </c>
      <c r="C6835" s="26" t="str">
        <f>VLOOKUP(Tabela1[[#This Row],[Cliente]],'BASE DE CLIENTES'!A:E,2,0)</f>
        <v>Brasília</v>
      </c>
      <c r="D6835" s="26" t="str">
        <f>VLOOKUP(Tabela1[[#This Row],[Cliente]],'BASE DE CLIENTES'!A:C,3,0)</f>
        <v>DF</v>
      </c>
      <c r="E6835" s="26" t="str">
        <f>CONCATENATE(Tabela1[[#This Row],[CIDADE]],",",Tabela1[[#This Row],[UF]])</f>
        <v>Brasília,DF</v>
      </c>
      <c r="F6835" s="12">
        <v>46223</v>
      </c>
      <c r="G6835" s="14">
        <v>191</v>
      </c>
      <c r="H6835" s="13">
        <v>300</v>
      </c>
      <c r="I6835" s="7">
        <f>Tabela1[[#This Row],[Valor total]]-Tabela1[[#This Row],[Valor custo]]</f>
        <v>109</v>
      </c>
      <c r="J6835" s="27">
        <f>Tabela1[[#This Row],[MARGEM BRUTA]]/Tabela1[[#This Row],[Valor total]]</f>
        <v>0.36333333333333334</v>
      </c>
      <c r="K6835" s="26" t="str">
        <f>VLOOKUP(Tabela1[[#This Row],[Cliente]],'BASE DE CLIENTES'!A:D,4,0)</f>
        <v>SERRALHEIRO</v>
      </c>
      <c r="L6835" s="26" t="str">
        <f>VLOOKUP(Tabela1[[#This Row],[Cliente]],'BASE DE CLIENTES'!A:E,5,0)</f>
        <v>RIACHO FUNDO I</v>
      </c>
    </row>
    <row r="6836" spans="2:12" x14ac:dyDescent="0.3">
      <c r="B6836" t="s">
        <v>1304</v>
      </c>
      <c r="C6836" s="26" t="str">
        <f>VLOOKUP(Tabela1[[#This Row],[Cliente]],'BASE DE CLIENTES'!A:E,2,0)</f>
        <v>Uberlândia</v>
      </c>
      <c r="D6836" s="26" t="str">
        <f>VLOOKUP(Tabela1[[#This Row],[Cliente]],'BASE DE CLIENTES'!A:C,3,0)</f>
        <v>MG</v>
      </c>
      <c r="E6836" s="26" t="str">
        <f>CONCATENATE(Tabela1[[#This Row],[CIDADE]],",",Tabela1[[#This Row],[UF]])</f>
        <v>Uberlândia,MG</v>
      </c>
      <c r="F6836" s="12">
        <v>46223</v>
      </c>
      <c r="G6836" s="14">
        <v>15373.79</v>
      </c>
      <c r="H6836" s="13">
        <v>20960</v>
      </c>
      <c r="I6836" s="7">
        <f>Tabela1[[#This Row],[Valor total]]-Tabela1[[#This Row],[Valor custo]]</f>
        <v>5586.2099999999991</v>
      </c>
      <c r="J6836" s="27">
        <f>Tabela1[[#This Row],[MARGEM BRUTA]]/Tabela1[[#This Row],[Valor total]]</f>
        <v>0.2665176526717557</v>
      </c>
      <c r="K6836" s="26" t="str">
        <f>VLOOKUP(Tabela1[[#This Row],[Cliente]],'BASE DE CLIENTES'!A:D,4,0)</f>
        <v>CLIENTE NOVO S/ IDENT.</v>
      </c>
      <c r="L6836" s="26" t="str">
        <f>VLOOKUP(Tabela1[[#This Row],[Cliente]],'BASE DE CLIENTES'!A:E,5,0)</f>
        <v>Uberlândia</v>
      </c>
    </row>
    <row r="6837" spans="2:12" x14ac:dyDescent="0.3">
      <c r="B6837" t="s">
        <v>150</v>
      </c>
      <c r="C6837" s="26" t="str">
        <f>VLOOKUP(Tabela1[[#This Row],[Cliente]],'BASE DE CLIENTES'!A:E,2,0)</f>
        <v>Anápolis</v>
      </c>
      <c r="D6837" s="26" t="str">
        <f>VLOOKUP(Tabela1[[#This Row],[Cliente]],'BASE DE CLIENTES'!A:C,3,0)</f>
        <v>GO</v>
      </c>
      <c r="E6837" s="26" t="str">
        <f>CONCATENATE(Tabela1[[#This Row],[CIDADE]],",",Tabela1[[#This Row],[UF]])</f>
        <v>Anápolis,GO</v>
      </c>
      <c r="F6837" s="12">
        <v>46223</v>
      </c>
      <c r="G6837" s="14">
        <v>9131.61</v>
      </c>
      <c r="H6837" s="13">
        <v>14320</v>
      </c>
      <c r="I6837" s="7">
        <f>Tabela1[[#This Row],[Valor total]]-Tabela1[[#This Row],[Valor custo]]</f>
        <v>5188.3899999999994</v>
      </c>
      <c r="J6837" s="27">
        <f>Tabela1[[#This Row],[MARGEM BRUTA]]/Tabela1[[#This Row],[Valor total]]</f>
        <v>0.36231773743016754</v>
      </c>
      <c r="K6837" s="26" t="str">
        <f>VLOOKUP(Tabela1[[#This Row],[Cliente]],'BASE DE CLIENTES'!A:D,4,0)</f>
        <v>EMPRESA COM MAQUINA</v>
      </c>
      <c r="L6837" s="26" t="str">
        <f>VLOOKUP(Tabela1[[#This Row],[Cliente]],'BASE DE CLIENTES'!A:E,5,0)</f>
        <v>Anápolis</v>
      </c>
    </row>
    <row r="6838" spans="2:12" x14ac:dyDescent="0.3">
      <c r="B6838" t="s">
        <v>36</v>
      </c>
      <c r="C6838" s="26" t="str">
        <f>VLOOKUP(Tabela1[[#This Row],[Cliente]],'BASE DE CLIENTES'!A:E,2,0)</f>
        <v>Brasília</v>
      </c>
      <c r="D6838" s="26" t="str">
        <f>VLOOKUP(Tabela1[[#This Row],[Cliente]],'BASE DE CLIENTES'!A:C,3,0)</f>
        <v>DF</v>
      </c>
      <c r="E6838" s="26" t="str">
        <f>CONCATENATE(Tabela1[[#This Row],[CIDADE]],",",Tabela1[[#This Row],[UF]])</f>
        <v>Brasília,DF</v>
      </c>
      <c r="F6838" s="12">
        <v>46223</v>
      </c>
      <c r="G6838" s="14">
        <v>1560.72</v>
      </c>
      <c r="H6838" s="13">
        <v>2225</v>
      </c>
      <c r="I6838" s="7">
        <f>Tabela1[[#This Row],[Valor total]]-Tabela1[[#This Row],[Valor custo]]</f>
        <v>664.28</v>
      </c>
      <c r="J6838" s="27">
        <f>Tabela1[[#This Row],[MARGEM BRUTA]]/Tabela1[[#This Row],[Valor total]]</f>
        <v>0.29855280898876402</v>
      </c>
      <c r="K6838" s="26" t="str">
        <f>VLOOKUP(Tabela1[[#This Row],[Cliente]],'BASE DE CLIENTES'!A:D,4,0)</f>
        <v>SERRALHEIRO</v>
      </c>
      <c r="L6838" s="26" t="str">
        <f>VLOOKUP(Tabela1[[#This Row],[Cliente]],'BASE DE CLIENTES'!A:E,5,0)</f>
        <v>CEILANDIA SUL (CEILANDIA)</v>
      </c>
    </row>
    <row r="6839" spans="2:12" x14ac:dyDescent="0.3">
      <c r="B6839" t="s">
        <v>1223</v>
      </c>
      <c r="C6839" s="26" t="str">
        <f>VLOOKUP(Tabela1[[#This Row],[Cliente]],'BASE DE CLIENTES'!A:E,2,0)</f>
        <v>MERCADO LIVRE</v>
      </c>
      <c r="D6839" s="26" t="str">
        <f>VLOOKUP(Tabela1[[#This Row],[Cliente]],'BASE DE CLIENTES'!A:C,3,0)</f>
        <v>MERCADO LIVRE</v>
      </c>
      <c r="E6839" s="26" t="str">
        <f>CONCATENATE(Tabela1[[#This Row],[CIDADE]],",",Tabela1[[#This Row],[UF]])</f>
        <v>MERCADO LIVRE,MERCADO LIVRE</v>
      </c>
      <c r="F6839" s="12">
        <v>46223</v>
      </c>
      <c r="G6839" s="14">
        <v>56.28</v>
      </c>
      <c r="H6839" s="13">
        <v>192.81</v>
      </c>
      <c r="I6839" s="7">
        <f>Tabela1[[#This Row],[Valor total]]-Tabela1[[#This Row],[Valor custo]]</f>
        <v>136.53</v>
      </c>
      <c r="J6839" s="27">
        <f>Tabela1[[#This Row],[MARGEM BRUTA]]/Tabela1[[#This Row],[Valor total]]</f>
        <v>0.7081064260152482</v>
      </c>
      <c r="K6839" s="26" t="str">
        <f>VLOOKUP(Tabela1[[#This Row],[Cliente]],'BASE DE CLIENTES'!A:D,4,0)</f>
        <v>OUTROS RAMOS</v>
      </c>
      <c r="L6839" s="26" t="str">
        <f>VLOOKUP(Tabela1[[#This Row],[Cliente]],'BASE DE CLIENTES'!A:E,5,0)</f>
        <v>MERCADO LIVRE</v>
      </c>
    </row>
    <row r="6840" spans="2:12" x14ac:dyDescent="0.3">
      <c r="B6840" t="s">
        <v>1223</v>
      </c>
      <c r="C6840" s="26" t="str">
        <f>VLOOKUP(Tabela1[[#This Row],[Cliente]],'BASE DE CLIENTES'!A:E,2,0)</f>
        <v>MERCADO LIVRE</v>
      </c>
      <c r="D6840" s="26" t="str">
        <f>VLOOKUP(Tabela1[[#This Row],[Cliente]],'BASE DE CLIENTES'!A:C,3,0)</f>
        <v>MERCADO LIVRE</v>
      </c>
      <c r="E6840" s="26" t="str">
        <f>CONCATENATE(Tabela1[[#This Row],[CIDADE]],",",Tabela1[[#This Row],[UF]])</f>
        <v>MERCADO LIVRE,MERCADO LIVRE</v>
      </c>
      <c r="F6840" s="12">
        <v>46223</v>
      </c>
      <c r="G6840" s="14">
        <v>112.56</v>
      </c>
      <c r="H6840" s="13">
        <v>385.62</v>
      </c>
      <c r="I6840" s="7">
        <f>Tabela1[[#This Row],[Valor total]]-Tabela1[[#This Row],[Valor custo]]</f>
        <v>273.06</v>
      </c>
      <c r="J6840" s="27">
        <f>Tabela1[[#This Row],[MARGEM BRUTA]]/Tabela1[[#This Row],[Valor total]]</f>
        <v>0.7081064260152482</v>
      </c>
      <c r="K6840" s="26" t="str">
        <f>VLOOKUP(Tabela1[[#This Row],[Cliente]],'BASE DE CLIENTES'!A:D,4,0)</f>
        <v>OUTROS RAMOS</v>
      </c>
      <c r="L6840" s="26" t="str">
        <f>VLOOKUP(Tabela1[[#This Row],[Cliente]],'BASE DE CLIENTES'!A:E,5,0)</f>
        <v>MERCADO LIVRE</v>
      </c>
    </row>
    <row r="6841" spans="2:12" x14ac:dyDescent="0.3">
      <c r="B6841" t="s">
        <v>1223</v>
      </c>
      <c r="C6841" s="26" t="str">
        <f>VLOOKUP(Tabela1[[#This Row],[Cliente]],'BASE DE CLIENTES'!A:E,2,0)</f>
        <v>MERCADO LIVRE</v>
      </c>
      <c r="D6841" s="26" t="str">
        <f>VLOOKUP(Tabela1[[#This Row],[Cliente]],'BASE DE CLIENTES'!A:C,3,0)</f>
        <v>MERCADO LIVRE</v>
      </c>
      <c r="E6841" s="26" t="str">
        <f>CONCATENATE(Tabela1[[#This Row],[CIDADE]],",",Tabela1[[#This Row],[UF]])</f>
        <v>MERCADO LIVRE,MERCADO LIVRE</v>
      </c>
      <c r="F6841" s="12">
        <v>46223</v>
      </c>
      <c r="G6841" s="14">
        <v>56.28</v>
      </c>
      <c r="H6841" s="13">
        <v>192.81</v>
      </c>
      <c r="I6841" s="7">
        <f>Tabela1[[#This Row],[Valor total]]-Tabela1[[#This Row],[Valor custo]]</f>
        <v>136.53</v>
      </c>
      <c r="J6841" s="27">
        <f>Tabela1[[#This Row],[MARGEM BRUTA]]/Tabela1[[#This Row],[Valor total]]</f>
        <v>0.7081064260152482</v>
      </c>
      <c r="K6841" s="26" t="str">
        <f>VLOOKUP(Tabela1[[#This Row],[Cliente]],'BASE DE CLIENTES'!A:D,4,0)</f>
        <v>OUTROS RAMOS</v>
      </c>
      <c r="L6841" s="26" t="str">
        <f>VLOOKUP(Tabela1[[#This Row],[Cliente]],'BASE DE CLIENTES'!A:E,5,0)</f>
        <v>MERCADO LIVRE</v>
      </c>
    </row>
    <row r="6842" spans="2:12" x14ac:dyDescent="0.3">
      <c r="B6842" t="s">
        <v>30</v>
      </c>
      <c r="C6842" s="26" t="str">
        <f>VLOOKUP(Tabela1[[#This Row],[Cliente]],'BASE DE CLIENTES'!A:E,2,0)</f>
        <v>Águas Lindas de Goiás</v>
      </c>
      <c r="D6842" s="26" t="str">
        <f>VLOOKUP(Tabela1[[#This Row],[Cliente]],'BASE DE CLIENTES'!A:C,3,0)</f>
        <v>GO</v>
      </c>
      <c r="E6842" s="26" t="str">
        <f>CONCATENATE(Tabela1[[#This Row],[CIDADE]],",",Tabela1[[#This Row],[UF]])</f>
        <v>Águas Lindas de Goiás,GO</v>
      </c>
      <c r="F6842" s="12">
        <v>46220</v>
      </c>
      <c r="G6842" s="14">
        <v>56.28</v>
      </c>
      <c r="H6842" s="13">
        <v>150</v>
      </c>
      <c r="I6842" s="7">
        <f>Tabela1[[#This Row],[Valor total]]-Tabela1[[#This Row],[Valor custo]]</f>
        <v>93.72</v>
      </c>
      <c r="J6842" s="27">
        <f>Tabela1[[#This Row],[MARGEM BRUTA]]/Tabela1[[#This Row],[Valor total]]</f>
        <v>0.62480000000000002</v>
      </c>
      <c r="K6842" s="26" t="str">
        <f>VLOOKUP(Tabela1[[#This Row],[Cliente]],'BASE DE CLIENTES'!A:D,4,0)</f>
        <v>SERRALHEIRO</v>
      </c>
      <c r="L6842" s="26" t="str">
        <f>VLOOKUP(Tabela1[[#This Row],[Cliente]],'BASE DE CLIENTES'!A:E,5,0)</f>
        <v>Águas Lindas de Goiás</v>
      </c>
    </row>
    <row r="6843" spans="2:12" x14ac:dyDescent="0.3">
      <c r="B6843" t="s">
        <v>92</v>
      </c>
      <c r="C6843" s="26" t="str">
        <f>VLOOKUP(Tabela1[[#This Row],[Cliente]],'BASE DE CLIENTES'!A:E,2,0)</f>
        <v>Brasília</v>
      </c>
      <c r="D6843" s="26" t="str">
        <f>VLOOKUP(Tabela1[[#This Row],[Cliente]],'BASE DE CLIENTES'!A:C,3,0)</f>
        <v>DF</v>
      </c>
      <c r="E6843" s="26" t="str">
        <f>CONCATENATE(Tabela1[[#This Row],[CIDADE]],",",Tabela1[[#This Row],[UF]])</f>
        <v>Brasília,DF</v>
      </c>
      <c r="F6843" s="12">
        <v>46220</v>
      </c>
      <c r="G6843" s="14">
        <v>73.14</v>
      </c>
      <c r="H6843" s="13">
        <v>75</v>
      </c>
      <c r="I6843" s="7">
        <f>Tabela1[[#This Row],[Valor total]]-Tabela1[[#This Row],[Valor custo]]</f>
        <v>1.8599999999999994</v>
      </c>
      <c r="J6843" s="27">
        <f>Tabela1[[#This Row],[MARGEM BRUTA]]/Tabela1[[#This Row],[Valor total]]</f>
        <v>2.4799999999999992E-2</v>
      </c>
      <c r="K6843" s="26" t="str">
        <f>VLOOKUP(Tabela1[[#This Row],[Cliente]],'BASE DE CLIENTES'!A:D,4,0)</f>
        <v>EMPRESA SEM MAQUINA</v>
      </c>
      <c r="L6843" s="26" t="str">
        <f>VLOOKUP(Tabela1[[#This Row],[Cliente]],'BASE DE CLIENTES'!A:E,5,0)</f>
        <v>SOBRADINHO</v>
      </c>
    </row>
    <row r="6844" spans="2:12" x14ac:dyDescent="0.3">
      <c r="B6844" t="s">
        <v>27</v>
      </c>
      <c r="C6844" s="26" t="str">
        <f>VLOOKUP(Tabela1[[#This Row],[Cliente]],'BASE DE CLIENTES'!A:E,2,0)</f>
        <v>Brasília</v>
      </c>
      <c r="D6844" s="26" t="str">
        <f>VLOOKUP(Tabela1[[#This Row],[Cliente]],'BASE DE CLIENTES'!A:C,3,0)</f>
        <v>DF</v>
      </c>
      <c r="E6844" s="26" t="str">
        <f>CONCATENATE(Tabela1[[#This Row],[CIDADE]],",",Tabela1[[#This Row],[UF]])</f>
        <v>Brasília,DF</v>
      </c>
      <c r="F6844" s="12">
        <v>46220</v>
      </c>
      <c r="G6844" s="14">
        <v>25</v>
      </c>
      <c r="H6844" s="13">
        <v>110</v>
      </c>
      <c r="I6844" s="7">
        <f>Tabela1[[#This Row],[Valor total]]-Tabela1[[#This Row],[Valor custo]]</f>
        <v>85</v>
      </c>
      <c r="J6844" s="27">
        <f>Tabela1[[#This Row],[MARGEM BRUTA]]/Tabela1[[#This Row],[Valor total]]</f>
        <v>0.77272727272727271</v>
      </c>
      <c r="K6844" s="26" t="str">
        <f>VLOOKUP(Tabela1[[#This Row],[Cliente]],'BASE DE CLIENTES'!A:D,4,0)</f>
        <v>EMPRESA SEM MAQUINA</v>
      </c>
      <c r="L6844" s="26" t="str">
        <f>VLOOKUP(Tabela1[[#This Row],[Cliente]],'BASE DE CLIENTES'!A:E,5,0)</f>
        <v>RECANTO DAS EMAS</v>
      </c>
    </row>
    <row r="6845" spans="2:12" x14ac:dyDescent="0.3">
      <c r="B6845" t="s">
        <v>343</v>
      </c>
      <c r="C6845" s="26" t="str">
        <f>VLOOKUP(Tabela1[[#This Row],[Cliente]],'BASE DE CLIENTES'!A:E,2,0)</f>
        <v>Brasília</v>
      </c>
      <c r="D6845" s="26" t="str">
        <f>VLOOKUP(Tabela1[[#This Row],[Cliente]],'BASE DE CLIENTES'!A:C,3,0)</f>
        <v>DF</v>
      </c>
      <c r="E6845" s="26" t="str">
        <f>CONCATENATE(Tabela1[[#This Row],[CIDADE]],",",Tabela1[[#This Row],[UF]])</f>
        <v>Brasília,DF</v>
      </c>
      <c r="F6845" s="12">
        <v>46220</v>
      </c>
      <c r="G6845" s="14">
        <v>38</v>
      </c>
      <c r="H6845" s="13">
        <v>150</v>
      </c>
      <c r="I6845" s="7">
        <f>Tabela1[[#This Row],[Valor total]]-Tabela1[[#This Row],[Valor custo]]</f>
        <v>112</v>
      </c>
      <c r="J6845" s="27">
        <f>Tabela1[[#This Row],[MARGEM BRUTA]]/Tabela1[[#This Row],[Valor total]]</f>
        <v>0.7466666666666667</v>
      </c>
      <c r="K6845" s="26" t="str">
        <f>VLOOKUP(Tabela1[[#This Row],[Cliente]],'BASE DE CLIENTES'!A:D,4,0)</f>
        <v>CLIENTE NOVO S/ IDENT.</v>
      </c>
      <c r="L6845" s="26" t="str">
        <f>VLOOKUP(Tabela1[[#This Row],[Cliente]],'BASE DE CLIENTES'!A:E,5,0)</f>
        <v>Brasília</v>
      </c>
    </row>
    <row r="6846" spans="2:12" x14ac:dyDescent="0.3">
      <c r="B6846" t="s">
        <v>23</v>
      </c>
      <c r="C6846" s="26" t="str">
        <f>VLOOKUP(Tabela1[[#This Row],[Cliente]],'BASE DE CLIENTES'!A:E,2,0)</f>
        <v>Brasília</v>
      </c>
      <c r="D6846" s="26" t="str">
        <f>VLOOKUP(Tabela1[[#This Row],[Cliente]],'BASE DE CLIENTES'!A:C,3,0)</f>
        <v>DF</v>
      </c>
      <c r="E6846" s="26" t="str">
        <f>CONCATENATE(Tabela1[[#This Row],[CIDADE]],",",Tabela1[[#This Row],[UF]])</f>
        <v>Brasília,DF</v>
      </c>
      <c r="F6846" s="12">
        <v>46220</v>
      </c>
      <c r="G6846" s="14">
        <v>73.14</v>
      </c>
      <c r="H6846" s="13">
        <v>75</v>
      </c>
      <c r="I6846" s="7">
        <f>Tabela1[[#This Row],[Valor total]]-Tabela1[[#This Row],[Valor custo]]</f>
        <v>1.8599999999999994</v>
      </c>
      <c r="J6846" s="27">
        <f>Tabela1[[#This Row],[MARGEM BRUTA]]/Tabela1[[#This Row],[Valor total]]</f>
        <v>2.4799999999999992E-2</v>
      </c>
      <c r="K6846" s="26" t="str">
        <f>VLOOKUP(Tabela1[[#This Row],[Cliente]],'BASE DE CLIENTES'!A:D,4,0)</f>
        <v>EMPRESA SEM MAQUINA</v>
      </c>
      <c r="L6846" s="26" t="str">
        <f>VLOOKUP(Tabela1[[#This Row],[Cliente]],'BASE DE CLIENTES'!A:E,5,0)</f>
        <v>SETOR INDUSTRIAL (TAGUATINGA)</v>
      </c>
    </row>
    <row r="6847" spans="2:12" x14ac:dyDescent="0.3">
      <c r="B6847" t="s">
        <v>27</v>
      </c>
      <c r="C6847" s="26" t="str">
        <f>VLOOKUP(Tabela1[[#This Row],[Cliente]],'BASE DE CLIENTES'!A:E,2,0)</f>
        <v>Brasília</v>
      </c>
      <c r="D6847" s="26" t="str">
        <f>VLOOKUP(Tabela1[[#This Row],[Cliente]],'BASE DE CLIENTES'!A:C,3,0)</f>
        <v>DF</v>
      </c>
      <c r="E6847" s="26" t="str">
        <f>CONCATENATE(Tabela1[[#This Row],[CIDADE]],",",Tabela1[[#This Row],[UF]])</f>
        <v>Brasília,DF</v>
      </c>
      <c r="F6847" s="12">
        <v>46220</v>
      </c>
      <c r="G6847" s="14">
        <v>419</v>
      </c>
      <c r="H6847" s="13">
        <v>505</v>
      </c>
      <c r="I6847" s="7">
        <f>Tabela1[[#This Row],[Valor total]]-Tabela1[[#This Row],[Valor custo]]</f>
        <v>86</v>
      </c>
      <c r="J6847" s="27">
        <f>Tabela1[[#This Row],[MARGEM BRUTA]]/Tabela1[[#This Row],[Valor total]]</f>
        <v>0.17029702970297031</v>
      </c>
      <c r="K6847" s="26" t="str">
        <f>VLOOKUP(Tabela1[[#This Row],[Cliente]],'BASE DE CLIENTES'!A:D,4,0)</f>
        <v>EMPRESA SEM MAQUINA</v>
      </c>
      <c r="L6847" s="26" t="str">
        <f>VLOOKUP(Tabela1[[#This Row],[Cliente]],'BASE DE CLIENTES'!A:E,5,0)</f>
        <v>RECANTO DAS EMAS</v>
      </c>
    </row>
    <row r="6848" spans="2:12" x14ac:dyDescent="0.3">
      <c r="B6848" t="s">
        <v>96</v>
      </c>
      <c r="C6848" s="26" t="str">
        <f>VLOOKUP(Tabela1[[#This Row],[Cliente]],'BASE DE CLIENTES'!A:E,2,0)</f>
        <v>Brasília</v>
      </c>
      <c r="D6848" s="26" t="str">
        <f>VLOOKUP(Tabela1[[#This Row],[Cliente]],'BASE DE CLIENTES'!A:C,3,0)</f>
        <v>DF</v>
      </c>
      <c r="E6848" s="26" t="str">
        <f>CONCATENATE(Tabela1[[#This Row],[CIDADE]],",",Tabela1[[#This Row],[UF]])</f>
        <v>Brasília,DF</v>
      </c>
      <c r="F6848" s="12">
        <v>46220</v>
      </c>
      <c r="G6848" s="14">
        <v>760</v>
      </c>
      <c r="H6848" s="13">
        <v>1700</v>
      </c>
      <c r="I6848" s="7">
        <f>Tabela1[[#This Row],[Valor total]]-Tabela1[[#This Row],[Valor custo]]</f>
        <v>940</v>
      </c>
      <c r="J6848" s="27">
        <f>Tabela1[[#This Row],[MARGEM BRUTA]]/Tabela1[[#This Row],[Valor total]]</f>
        <v>0.55294117647058827</v>
      </c>
      <c r="K6848" s="26" t="str">
        <f>VLOOKUP(Tabela1[[#This Row],[Cliente]],'BASE DE CLIENTES'!A:D,4,0)</f>
        <v>EMPRESA SEM MAQUINA</v>
      </c>
      <c r="L6848" s="26" t="str">
        <f>VLOOKUP(Tabela1[[#This Row],[Cliente]],'BASE DE CLIENTES'!A:E,5,0)</f>
        <v>CEILANDIA NORTE (CEILANDIA)</v>
      </c>
    </row>
    <row r="6849" spans="2:12" x14ac:dyDescent="0.3">
      <c r="B6849" t="s">
        <v>230</v>
      </c>
      <c r="C6849" s="26" t="str">
        <f>VLOOKUP(Tabela1[[#This Row],[Cliente]],'BASE DE CLIENTES'!A:E,2,0)</f>
        <v>Brasília</v>
      </c>
      <c r="D6849" s="26" t="str">
        <f>VLOOKUP(Tabela1[[#This Row],[Cliente]],'BASE DE CLIENTES'!A:C,3,0)</f>
        <v>DF</v>
      </c>
      <c r="E6849" s="26" t="str">
        <f>CONCATENATE(Tabela1[[#This Row],[CIDADE]],",",Tabela1[[#This Row],[UF]])</f>
        <v>Brasília,DF</v>
      </c>
      <c r="F6849" s="12">
        <v>46220</v>
      </c>
      <c r="G6849" s="14">
        <v>670</v>
      </c>
      <c r="H6849" s="13">
        <v>1100</v>
      </c>
      <c r="I6849" s="7">
        <f>Tabela1[[#This Row],[Valor total]]-Tabela1[[#This Row],[Valor custo]]</f>
        <v>430</v>
      </c>
      <c r="J6849" s="27">
        <f>Tabela1[[#This Row],[MARGEM BRUTA]]/Tabela1[[#This Row],[Valor total]]</f>
        <v>0.39090909090909093</v>
      </c>
      <c r="K6849" s="26" t="str">
        <f>VLOOKUP(Tabela1[[#This Row],[Cliente]],'BASE DE CLIENTES'!A:D,4,0)</f>
        <v>SERRALHEIRO</v>
      </c>
      <c r="L6849" s="26" t="str">
        <f>VLOOKUP(Tabela1[[#This Row],[Cliente]],'BASE DE CLIENTES'!A:E,5,0)</f>
        <v>SETOR HABITACIONAL SAMAMBAIA (VICENTE PIRES)</v>
      </c>
    </row>
    <row r="6850" spans="2:12" x14ac:dyDescent="0.3">
      <c r="B6850" t="s">
        <v>92</v>
      </c>
      <c r="C6850" s="26" t="str">
        <f>VLOOKUP(Tabela1[[#This Row],[Cliente]],'BASE DE CLIENTES'!A:E,2,0)</f>
        <v>Brasília</v>
      </c>
      <c r="D6850" s="26" t="str">
        <f>VLOOKUP(Tabela1[[#This Row],[Cliente]],'BASE DE CLIENTES'!A:C,3,0)</f>
        <v>DF</v>
      </c>
      <c r="E6850" s="26" t="str">
        <f>CONCATENATE(Tabela1[[#This Row],[CIDADE]],",",Tabela1[[#This Row],[UF]])</f>
        <v>Brasília,DF</v>
      </c>
      <c r="F6850" s="12">
        <v>46220</v>
      </c>
      <c r="G6850" s="14">
        <v>799</v>
      </c>
      <c r="H6850" s="13">
        <v>1270</v>
      </c>
      <c r="I6850" s="7">
        <f>Tabela1[[#This Row],[Valor total]]-Tabela1[[#This Row],[Valor custo]]</f>
        <v>471</v>
      </c>
      <c r="J6850" s="27">
        <f>Tabela1[[#This Row],[MARGEM BRUTA]]/Tabela1[[#This Row],[Valor total]]</f>
        <v>0.37086614173228344</v>
      </c>
      <c r="K6850" s="26" t="str">
        <f>VLOOKUP(Tabela1[[#This Row],[Cliente]],'BASE DE CLIENTES'!A:D,4,0)</f>
        <v>EMPRESA SEM MAQUINA</v>
      </c>
      <c r="L6850" s="26" t="str">
        <f>VLOOKUP(Tabela1[[#This Row],[Cliente]],'BASE DE CLIENTES'!A:E,5,0)</f>
        <v>SOBRADINHO</v>
      </c>
    </row>
    <row r="6851" spans="2:12" x14ac:dyDescent="0.3">
      <c r="B6851" t="s">
        <v>765</v>
      </c>
      <c r="C6851" s="26" t="str">
        <f>VLOOKUP(Tabela1[[#This Row],[Cliente]],'BASE DE CLIENTES'!A:E,2,0)</f>
        <v>Brasília</v>
      </c>
      <c r="D6851" s="26" t="str">
        <f>VLOOKUP(Tabela1[[#This Row],[Cliente]],'BASE DE CLIENTES'!A:C,3,0)</f>
        <v>DF</v>
      </c>
      <c r="E6851" s="26" t="str">
        <f>CONCATENATE(Tabela1[[#This Row],[CIDADE]],",",Tabela1[[#This Row],[UF]])</f>
        <v>Brasília,DF</v>
      </c>
      <c r="F6851" s="12">
        <v>46220</v>
      </c>
      <c r="G6851" s="14">
        <v>670</v>
      </c>
      <c r="H6851" s="13">
        <v>1250</v>
      </c>
      <c r="I6851" s="7">
        <f>Tabela1[[#This Row],[Valor total]]-Tabela1[[#This Row],[Valor custo]]</f>
        <v>580</v>
      </c>
      <c r="J6851" s="27">
        <f>Tabela1[[#This Row],[MARGEM BRUTA]]/Tabela1[[#This Row],[Valor total]]</f>
        <v>0.46400000000000002</v>
      </c>
      <c r="K6851" s="26" t="str">
        <f>VLOOKUP(Tabela1[[#This Row],[Cliente]],'BASE DE CLIENTES'!A:D,4,0)</f>
        <v>SEM CLASSIFICAÇÃO</v>
      </c>
      <c r="L6851" s="26" t="str">
        <f>VLOOKUP(Tabela1[[#This Row],[Cliente]],'BASE DE CLIENTES'!A:E,5,0)</f>
        <v>SOBRADINHO</v>
      </c>
    </row>
    <row r="6852" spans="2:12" x14ac:dyDescent="0.3">
      <c r="B6852" t="s">
        <v>161</v>
      </c>
      <c r="C6852" s="26" t="str">
        <f>VLOOKUP(Tabela1[[#This Row],[Cliente]],'BASE DE CLIENTES'!A:E,2,0)</f>
        <v>Brasília</v>
      </c>
      <c r="D6852" s="26" t="str">
        <f>VLOOKUP(Tabela1[[#This Row],[Cliente]],'BASE DE CLIENTES'!A:C,3,0)</f>
        <v>DF</v>
      </c>
      <c r="E6852" s="26" t="str">
        <f>CONCATENATE(Tabela1[[#This Row],[CIDADE]],",",Tabela1[[#This Row],[UF]])</f>
        <v>Brasília,DF</v>
      </c>
      <c r="F6852" s="12">
        <v>46220</v>
      </c>
      <c r="G6852" s="14">
        <v>14856.25</v>
      </c>
      <c r="H6852" s="13">
        <v>23300</v>
      </c>
      <c r="I6852" s="7">
        <f>Tabela1[[#This Row],[Valor total]]-Tabela1[[#This Row],[Valor custo]]</f>
        <v>8443.75</v>
      </c>
      <c r="J6852" s="27">
        <f>Tabela1[[#This Row],[MARGEM BRUTA]]/Tabela1[[#This Row],[Valor total]]</f>
        <v>0.36239270386266093</v>
      </c>
      <c r="K6852" s="26" t="str">
        <f>VLOOKUP(Tabela1[[#This Row],[Cliente]],'BASE DE CLIENTES'!A:D,4,0)</f>
        <v>EMPRESA COM MAQUINA</v>
      </c>
      <c r="L6852" s="26" t="str">
        <f>VLOOKUP(Tabela1[[#This Row],[Cliente]],'BASE DE CLIENTES'!A:E,5,0)</f>
        <v>RIACHO FUNDO II</v>
      </c>
    </row>
    <row r="6853" spans="2:12" x14ac:dyDescent="0.3">
      <c r="B6853" t="s">
        <v>1223</v>
      </c>
      <c r="C6853" s="26" t="str">
        <f>VLOOKUP(Tabela1[[#This Row],[Cliente]],'BASE DE CLIENTES'!A:E,2,0)</f>
        <v>MERCADO LIVRE</v>
      </c>
      <c r="D6853" s="26" t="str">
        <f>VLOOKUP(Tabela1[[#This Row],[Cliente]],'BASE DE CLIENTES'!A:C,3,0)</f>
        <v>MERCADO LIVRE</v>
      </c>
      <c r="E6853" s="26" t="str">
        <f>CONCATENATE(Tabela1[[#This Row],[CIDADE]],",",Tabela1[[#This Row],[UF]])</f>
        <v>MERCADO LIVRE,MERCADO LIVRE</v>
      </c>
      <c r="F6853" s="12">
        <v>46220</v>
      </c>
      <c r="G6853" s="14">
        <v>112.56</v>
      </c>
      <c r="H6853" s="13">
        <v>385.62</v>
      </c>
      <c r="I6853" s="7">
        <f>Tabela1[[#This Row],[Valor total]]-Tabela1[[#This Row],[Valor custo]]</f>
        <v>273.06</v>
      </c>
      <c r="J6853" s="27">
        <f>Tabela1[[#This Row],[MARGEM BRUTA]]/Tabela1[[#This Row],[Valor total]]</f>
        <v>0.7081064260152482</v>
      </c>
      <c r="K6853" s="26" t="str">
        <f>VLOOKUP(Tabela1[[#This Row],[Cliente]],'BASE DE CLIENTES'!A:D,4,0)</f>
        <v>OUTROS RAMOS</v>
      </c>
      <c r="L6853" s="26" t="str">
        <f>VLOOKUP(Tabela1[[#This Row],[Cliente]],'BASE DE CLIENTES'!A:E,5,0)</f>
        <v>MERCADO LIVRE</v>
      </c>
    </row>
    <row r="6854" spans="2:12" x14ac:dyDescent="0.3">
      <c r="B6854" t="s">
        <v>88</v>
      </c>
      <c r="C6854" s="26" t="str">
        <f>VLOOKUP(Tabela1[[#This Row],[Cliente]],'BASE DE CLIENTES'!A:E,2,0)</f>
        <v>Brasília</v>
      </c>
      <c r="D6854" s="26" t="str">
        <f>VLOOKUP(Tabela1[[#This Row],[Cliente]],'BASE DE CLIENTES'!A:C,3,0)</f>
        <v>DF</v>
      </c>
      <c r="E6854" s="26" t="str">
        <f>CONCATENATE(Tabela1[[#This Row],[CIDADE]],",",Tabela1[[#This Row],[UF]])</f>
        <v>Brasília,DF</v>
      </c>
      <c r="F6854" s="12">
        <v>46220</v>
      </c>
      <c r="G6854" s="14">
        <v>912.79</v>
      </c>
      <c r="H6854" s="13">
        <v>1570</v>
      </c>
      <c r="I6854" s="7">
        <f>Tabela1[[#This Row],[Valor total]]-Tabela1[[#This Row],[Valor custo]]</f>
        <v>657.21</v>
      </c>
      <c r="J6854" s="27">
        <f>Tabela1[[#This Row],[MARGEM BRUTA]]/Tabela1[[#This Row],[Valor total]]</f>
        <v>0.4186050955414013</v>
      </c>
      <c r="K6854" s="26" t="str">
        <f>VLOOKUP(Tabela1[[#This Row],[Cliente]],'BASE DE CLIENTES'!A:D,4,0)</f>
        <v>SERRALHEIRO</v>
      </c>
      <c r="L6854" s="26" t="str">
        <f>VLOOKUP(Tabela1[[#This Row],[Cliente]],'BASE DE CLIENTES'!A:E,5,0)</f>
        <v>RECANTO DAS EMAS</v>
      </c>
    </row>
    <row r="6855" spans="2:12" x14ac:dyDescent="0.3">
      <c r="B6855" t="s">
        <v>68</v>
      </c>
      <c r="C6855" s="26" t="str">
        <f>VLOOKUP(Tabela1[[#This Row],[Cliente]],'BASE DE CLIENTES'!A:E,2,0)</f>
        <v>Brasília</v>
      </c>
      <c r="D6855" s="26" t="str">
        <f>VLOOKUP(Tabela1[[#This Row],[Cliente]],'BASE DE CLIENTES'!A:C,3,0)</f>
        <v>DF</v>
      </c>
      <c r="E6855" s="26" t="str">
        <f>CONCATENATE(Tabela1[[#This Row],[CIDADE]],",",Tabela1[[#This Row],[UF]])</f>
        <v>Brasília,DF</v>
      </c>
      <c r="F6855" s="12">
        <v>46220</v>
      </c>
      <c r="G6855" s="14">
        <v>493.79</v>
      </c>
      <c r="H6855" s="13">
        <v>830</v>
      </c>
      <c r="I6855" s="7">
        <f>Tabela1[[#This Row],[Valor total]]-Tabela1[[#This Row],[Valor custo]]</f>
        <v>336.21</v>
      </c>
      <c r="J6855" s="27">
        <f>Tabela1[[#This Row],[MARGEM BRUTA]]/Tabela1[[#This Row],[Valor total]]</f>
        <v>0.40507228915662646</v>
      </c>
      <c r="K6855" s="26" t="str">
        <f>VLOOKUP(Tabela1[[#This Row],[Cliente]],'BASE DE CLIENTES'!A:D,4,0)</f>
        <v>EMPRESA COM MAQUINA</v>
      </c>
      <c r="L6855" s="26" t="str">
        <f>VLOOKUP(Tabela1[[#This Row],[Cliente]],'BASE DE CLIENTES'!A:E,5,0)</f>
        <v>SAMAMBAIA SUL (SAMAMBAIA)</v>
      </c>
    </row>
    <row r="6856" spans="2:12" x14ac:dyDescent="0.3">
      <c r="B6856" t="s">
        <v>1306</v>
      </c>
      <c r="C6856" s="26" t="str">
        <f>VLOOKUP(Tabela1[[#This Row],[Cliente]],'BASE DE CLIENTES'!A:E,2,0)</f>
        <v>Brasília</v>
      </c>
      <c r="D6856" s="26" t="str">
        <f>VLOOKUP(Tabela1[[#This Row],[Cliente]],'BASE DE CLIENTES'!A:C,3,0)</f>
        <v>DF</v>
      </c>
      <c r="E6856" s="26" t="str">
        <f>CONCATENATE(Tabela1[[#This Row],[CIDADE]],",",Tabela1[[#This Row],[UF]])</f>
        <v>Brasília,DF</v>
      </c>
      <c r="F6856" s="12">
        <v>46220</v>
      </c>
      <c r="G6856" s="14">
        <v>457</v>
      </c>
      <c r="H6856" s="13">
        <v>950</v>
      </c>
      <c r="I6856" s="7">
        <f>Tabela1[[#This Row],[Valor total]]-Tabela1[[#This Row],[Valor custo]]</f>
        <v>493</v>
      </c>
      <c r="J6856" s="27">
        <f>Tabela1[[#This Row],[MARGEM BRUTA]]/Tabela1[[#This Row],[Valor total]]</f>
        <v>0.5189473684210526</v>
      </c>
      <c r="K6856" s="26" t="str">
        <f>VLOOKUP(Tabela1[[#This Row],[Cliente]],'BASE DE CLIENTES'!A:D,4,0)</f>
        <v>CLIENTE NOVO S/ IDENT.</v>
      </c>
      <c r="L6856" s="26" t="str">
        <f>VLOOKUP(Tabela1[[#This Row],[Cliente]],'BASE DE CLIENTES'!A:E,5,0)</f>
        <v>SANTA MARIA</v>
      </c>
    </row>
    <row r="6857" spans="2:12" x14ac:dyDescent="0.3">
      <c r="B6857" t="s">
        <v>112</v>
      </c>
      <c r="C6857" s="26" t="str">
        <f>VLOOKUP(Tabela1[[#This Row],[Cliente]],'BASE DE CLIENTES'!A:E,2,0)</f>
        <v>Brasília</v>
      </c>
      <c r="D6857" s="26" t="str">
        <f>VLOOKUP(Tabela1[[#This Row],[Cliente]],'BASE DE CLIENTES'!A:C,3,0)</f>
        <v>DF</v>
      </c>
      <c r="E6857" s="26" t="str">
        <f>CONCATENATE(Tabela1[[#This Row],[CIDADE]],",",Tabela1[[#This Row],[UF]])</f>
        <v>Brasília,DF</v>
      </c>
      <c r="F6857" s="12">
        <v>46220</v>
      </c>
      <c r="G6857" s="14">
        <v>1485.6</v>
      </c>
      <c r="H6857" s="13">
        <v>2686</v>
      </c>
      <c r="I6857" s="7">
        <f>Tabela1[[#This Row],[Valor total]]-Tabela1[[#This Row],[Valor custo]]</f>
        <v>1200.4000000000001</v>
      </c>
      <c r="J6857" s="27">
        <f>Tabela1[[#This Row],[MARGEM BRUTA]]/Tabela1[[#This Row],[Valor total]]</f>
        <v>0.44690990320178708</v>
      </c>
      <c r="K6857" s="26" t="str">
        <f>VLOOKUP(Tabela1[[#This Row],[Cliente]],'BASE DE CLIENTES'!A:D,4,0)</f>
        <v>SERRALHEIRO</v>
      </c>
      <c r="L6857" s="26" t="str">
        <f>VLOOKUP(Tabela1[[#This Row],[Cliente]],'BASE DE CLIENTES'!A:E,5,0)</f>
        <v>RIACHO FUNDO I</v>
      </c>
    </row>
    <row r="6858" spans="2:12" x14ac:dyDescent="0.3">
      <c r="B6858" t="s">
        <v>128</v>
      </c>
      <c r="C6858" s="26" t="str">
        <f>VLOOKUP(Tabela1[[#This Row],[Cliente]],'BASE DE CLIENTES'!A:E,2,0)</f>
        <v>Brasília</v>
      </c>
      <c r="D6858" s="26" t="str">
        <f>VLOOKUP(Tabela1[[#This Row],[Cliente]],'BASE DE CLIENTES'!A:C,3,0)</f>
        <v>DF</v>
      </c>
      <c r="E6858" s="26" t="str">
        <f>CONCATENATE(Tabela1[[#This Row],[CIDADE]],",",Tabela1[[#This Row],[UF]])</f>
        <v>Brasília,DF</v>
      </c>
      <c r="F6858" s="12">
        <v>46220</v>
      </c>
      <c r="G6858" s="14">
        <v>380</v>
      </c>
      <c r="H6858" s="13">
        <v>549</v>
      </c>
      <c r="I6858" s="7">
        <f>Tabela1[[#This Row],[Valor total]]-Tabela1[[#This Row],[Valor custo]]</f>
        <v>169</v>
      </c>
      <c r="J6858" s="27">
        <f>Tabela1[[#This Row],[MARGEM BRUTA]]/Tabela1[[#This Row],[Valor total]]</f>
        <v>0.30783242258652094</v>
      </c>
      <c r="K6858" s="26" t="str">
        <f>VLOOKUP(Tabela1[[#This Row],[Cliente]],'BASE DE CLIENTES'!A:D,4,0)</f>
        <v>SERRALHEIRO</v>
      </c>
      <c r="L6858" s="26" t="str">
        <f>VLOOKUP(Tabela1[[#This Row],[Cliente]],'BASE DE CLIENTES'!A:E,5,0)</f>
        <v>TAGUATINGA NORTE</v>
      </c>
    </row>
    <row r="6859" spans="2:12" x14ac:dyDescent="0.3">
      <c r="B6859" t="s">
        <v>19</v>
      </c>
      <c r="C6859" s="26" t="str">
        <f>VLOOKUP(Tabela1[[#This Row],[Cliente]],'BASE DE CLIENTES'!A:E,2,0)</f>
        <v>Águas Lindas de Goiás</v>
      </c>
      <c r="D6859" s="26" t="str">
        <f>VLOOKUP(Tabela1[[#This Row],[Cliente]],'BASE DE CLIENTES'!A:C,3,0)</f>
        <v>GO</v>
      </c>
      <c r="E6859" s="26" t="str">
        <f>CONCATENATE(Tabela1[[#This Row],[CIDADE]],",",Tabela1[[#This Row],[UF]])</f>
        <v>Águas Lindas de Goiás,GO</v>
      </c>
      <c r="F6859" s="12">
        <v>46220</v>
      </c>
      <c r="G6859" s="14">
        <v>682.19</v>
      </c>
      <c r="H6859" s="13">
        <v>1316</v>
      </c>
      <c r="I6859" s="7">
        <f>Tabela1[[#This Row],[Valor total]]-Tabela1[[#This Row],[Valor custo]]</f>
        <v>633.80999999999995</v>
      </c>
      <c r="J6859" s="27">
        <f>Tabela1[[#This Row],[MARGEM BRUTA]]/Tabela1[[#This Row],[Valor total]]</f>
        <v>0.4816185410334346</v>
      </c>
      <c r="K6859" s="26" t="str">
        <f>VLOOKUP(Tabela1[[#This Row],[Cliente]],'BASE DE CLIENTES'!A:D,4,0)</f>
        <v>SERRALHEIRO</v>
      </c>
      <c r="L6859" s="26" t="str">
        <f>VLOOKUP(Tabela1[[#This Row],[Cliente]],'BASE DE CLIENTES'!A:E,5,0)</f>
        <v>Águas Lindas de Goiás</v>
      </c>
    </row>
    <row r="6860" spans="2:12" x14ac:dyDescent="0.3">
      <c r="B6860" t="s">
        <v>236</v>
      </c>
      <c r="C6860" s="26" t="str">
        <f>VLOOKUP(Tabela1[[#This Row],[Cliente]],'BASE DE CLIENTES'!A:E,2,0)</f>
        <v>Goiânia</v>
      </c>
      <c r="D6860" s="26" t="str">
        <f>VLOOKUP(Tabela1[[#This Row],[Cliente]],'BASE DE CLIENTES'!A:C,3,0)</f>
        <v>GO</v>
      </c>
      <c r="E6860" s="26" t="str">
        <f>CONCATENATE(Tabela1[[#This Row],[CIDADE]],",",Tabela1[[#This Row],[UF]])</f>
        <v>Goiânia,GO</v>
      </c>
      <c r="F6860" s="12">
        <v>46220</v>
      </c>
      <c r="G6860" s="14">
        <v>20730.64</v>
      </c>
      <c r="H6860" s="13">
        <v>30540</v>
      </c>
      <c r="I6860" s="7">
        <f>Tabela1[[#This Row],[Valor total]]-Tabela1[[#This Row],[Valor custo]]</f>
        <v>9809.36</v>
      </c>
      <c r="J6860" s="27">
        <f>Tabela1[[#This Row],[MARGEM BRUTA]]/Tabela1[[#This Row],[Valor total]]</f>
        <v>0.32119711853307142</v>
      </c>
      <c r="K6860" s="26" t="str">
        <f>VLOOKUP(Tabela1[[#This Row],[Cliente]],'BASE DE CLIENTES'!A:D,4,0)</f>
        <v>EMPRESA COM MAQUINA</v>
      </c>
      <c r="L6860" s="26" t="str">
        <f>VLOOKUP(Tabela1[[#This Row],[Cliente]],'BASE DE CLIENTES'!A:E,5,0)</f>
        <v>Goiânia</v>
      </c>
    </row>
    <row r="6861" spans="2:12" x14ac:dyDescent="0.3">
      <c r="B6861" t="s">
        <v>255</v>
      </c>
      <c r="C6861" s="26" t="str">
        <f>VLOOKUP(Tabela1[[#This Row],[Cliente]],'BASE DE CLIENTES'!A:E,2,0)</f>
        <v>Brasília</v>
      </c>
      <c r="D6861" s="26" t="str">
        <f>VLOOKUP(Tabela1[[#This Row],[Cliente]],'BASE DE CLIENTES'!A:C,3,0)</f>
        <v>DF</v>
      </c>
      <c r="E6861" s="26" t="str">
        <f>CONCATENATE(Tabela1[[#This Row],[CIDADE]],",",Tabela1[[#This Row],[UF]])</f>
        <v>Brasília,DF</v>
      </c>
      <c r="F6861" s="12">
        <v>46220</v>
      </c>
      <c r="G6861" s="14">
        <v>486.18</v>
      </c>
      <c r="H6861" s="13">
        <v>810</v>
      </c>
      <c r="I6861" s="7">
        <f>Tabela1[[#This Row],[Valor total]]-Tabela1[[#This Row],[Valor custo]]</f>
        <v>323.82</v>
      </c>
      <c r="J6861" s="27">
        <f>Tabela1[[#This Row],[MARGEM BRUTA]]/Tabela1[[#This Row],[Valor total]]</f>
        <v>0.39977777777777779</v>
      </c>
      <c r="K6861" s="26" t="str">
        <f>VLOOKUP(Tabela1[[#This Row],[Cliente]],'BASE DE CLIENTES'!A:D,4,0)</f>
        <v>EMPRESA COM MAQUINA</v>
      </c>
      <c r="L6861" s="26" t="str">
        <f>VLOOKUP(Tabela1[[#This Row],[Cliente]],'BASE DE CLIENTES'!A:E,5,0)</f>
        <v>ADE ÁGUAS CLARAS</v>
      </c>
    </row>
    <row r="6862" spans="2:12" x14ac:dyDescent="0.3">
      <c r="B6862" t="s">
        <v>111</v>
      </c>
      <c r="C6862" s="26" t="str">
        <f>VLOOKUP(Tabela1[[#This Row],[Cliente]],'BASE DE CLIENTES'!A:E,2,0)</f>
        <v>Brasília</v>
      </c>
      <c r="D6862" s="26" t="str">
        <f>VLOOKUP(Tabela1[[#This Row],[Cliente]],'BASE DE CLIENTES'!A:C,3,0)</f>
        <v>DF</v>
      </c>
      <c r="E6862" s="26" t="str">
        <f>CONCATENATE(Tabela1[[#This Row],[CIDADE]],",",Tabela1[[#This Row],[UF]])</f>
        <v>Brasília,DF</v>
      </c>
      <c r="F6862" s="12">
        <v>46220</v>
      </c>
      <c r="G6862" s="14">
        <v>380</v>
      </c>
      <c r="H6862" s="13">
        <v>765</v>
      </c>
      <c r="I6862" s="7">
        <f>Tabela1[[#This Row],[Valor total]]-Tabela1[[#This Row],[Valor custo]]</f>
        <v>385</v>
      </c>
      <c r="J6862" s="27">
        <f>Tabela1[[#This Row],[MARGEM BRUTA]]/Tabela1[[#This Row],[Valor total]]</f>
        <v>0.50326797385620914</v>
      </c>
      <c r="K6862" s="26" t="str">
        <f>VLOOKUP(Tabela1[[#This Row],[Cliente]],'BASE DE CLIENTES'!A:D,4,0)</f>
        <v>EMPRESA SEM MAQUINA</v>
      </c>
      <c r="L6862" s="26" t="str">
        <f>VLOOKUP(Tabela1[[#This Row],[Cliente]],'BASE DE CLIENTES'!A:E,5,0)</f>
        <v>TAGUATINGA SUL (TAGUATINGA)</v>
      </c>
    </row>
    <row r="6863" spans="2:12" x14ac:dyDescent="0.3">
      <c r="B6863" t="s">
        <v>42</v>
      </c>
      <c r="C6863" s="26" t="str">
        <f>VLOOKUP(Tabela1[[#This Row],[Cliente]],'BASE DE CLIENTES'!A:E,2,0)</f>
        <v>Brasília</v>
      </c>
      <c r="D6863" s="26" t="str">
        <f>VLOOKUP(Tabela1[[#This Row],[Cliente]],'BASE DE CLIENTES'!A:C,3,0)</f>
        <v>DF</v>
      </c>
      <c r="E6863" s="26" t="str">
        <f>CONCATENATE(Tabela1[[#This Row],[CIDADE]],",",Tabela1[[#This Row],[UF]])</f>
        <v>Brasília,DF</v>
      </c>
      <c r="F6863" s="12">
        <v>46220</v>
      </c>
      <c r="G6863" s="14">
        <v>882.69</v>
      </c>
      <c r="H6863" s="13">
        <v>1400</v>
      </c>
      <c r="I6863" s="7">
        <f>Tabela1[[#This Row],[Valor total]]-Tabela1[[#This Row],[Valor custo]]</f>
        <v>517.30999999999995</v>
      </c>
      <c r="J6863" s="27">
        <f>Tabela1[[#This Row],[MARGEM BRUTA]]/Tabela1[[#This Row],[Valor total]]</f>
        <v>0.36950714285714281</v>
      </c>
      <c r="K6863" s="26" t="str">
        <f>VLOOKUP(Tabela1[[#This Row],[Cliente]],'BASE DE CLIENTES'!A:D,4,0)</f>
        <v>EMPRESA SEM MAQUINA</v>
      </c>
      <c r="L6863" s="26" t="str">
        <f>VLOOKUP(Tabela1[[#This Row],[Cliente]],'BASE DE CLIENTES'!A:E,5,0)</f>
        <v>SAMAMBAIA</v>
      </c>
    </row>
    <row r="6864" spans="2:12" x14ac:dyDescent="0.3">
      <c r="B6864" t="s">
        <v>25</v>
      </c>
      <c r="C6864" s="26" t="str">
        <f>VLOOKUP(Tabela1[[#This Row],[Cliente]],'BASE DE CLIENTES'!A:E,2,0)</f>
        <v>Brasília</v>
      </c>
      <c r="D6864" s="26" t="str">
        <f>VLOOKUP(Tabela1[[#This Row],[Cliente]],'BASE DE CLIENTES'!A:C,3,0)</f>
        <v>DF</v>
      </c>
      <c r="E6864" s="26" t="str">
        <f>CONCATENATE(Tabela1[[#This Row],[CIDADE]],",",Tabela1[[#This Row],[UF]])</f>
        <v>Brasília,DF</v>
      </c>
      <c r="F6864" s="12">
        <v>46219</v>
      </c>
      <c r="G6864" s="14">
        <v>709</v>
      </c>
      <c r="H6864" s="13">
        <v>1330</v>
      </c>
      <c r="I6864" s="7">
        <f>Tabela1[[#This Row],[Valor total]]-Tabela1[[#This Row],[Valor custo]]</f>
        <v>621</v>
      </c>
      <c r="J6864" s="27">
        <f>Tabela1[[#This Row],[MARGEM BRUTA]]/Tabela1[[#This Row],[Valor total]]</f>
        <v>0.46691729323308273</v>
      </c>
      <c r="K6864" s="26" t="str">
        <f>VLOOKUP(Tabela1[[#This Row],[Cliente]],'BASE DE CLIENTES'!A:D,4,0)</f>
        <v>EMPRESA COM MAQUINA</v>
      </c>
      <c r="L6864" s="26" t="str">
        <f>VLOOKUP(Tabela1[[#This Row],[Cliente]],'BASE DE CLIENTES'!A:E,5,0)</f>
        <v>CEILANDIA NORTE (CEILANDIA)</v>
      </c>
    </row>
    <row r="6865" spans="2:12" x14ac:dyDescent="0.3">
      <c r="B6865" t="s">
        <v>297</v>
      </c>
      <c r="C6865" s="26" t="str">
        <f>VLOOKUP(Tabela1[[#This Row],[Cliente]],'BASE DE CLIENTES'!A:E,2,0)</f>
        <v>Brasília</v>
      </c>
      <c r="D6865" s="26" t="str">
        <f>VLOOKUP(Tabela1[[#This Row],[Cliente]],'BASE DE CLIENTES'!A:C,3,0)</f>
        <v>DF</v>
      </c>
      <c r="E6865" s="26" t="str">
        <f>CONCATENATE(Tabela1[[#This Row],[CIDADE]],",",Tabela1[[#This Row],[UF]])</f>
        <v>Brasília,DF</v>
      </c>
      <c r="F6865" s="12">
        <v>46219</v>
      </c>
      <c r="G6865" s="14">
        <v>2010</v>
      </c>
      <c r="H6865" s="13">
        <v>3450</v>
      </c>
      <c r="I6865" s="7">
        <f>Tabela1[[#This Row],[Valor total]]-Tabela1[[#This Row],[Valor custo]]</f>
        <v>1440</v>
      </c>
      <c r="J6865" s="27">
        <f>Tabela1[[#This Row],[MARGEM BRUTA]]/Tabela1[[#This Row],[Valor total]]</f>
        <v>0.41739130434782606</v>
      </c>
      <c r="K6865" s="26" t="str">
        <f>VLOOKUP(Tabela1[[#This Row],[Cliente]],'BASE DE CLIENTES'!A:D,4,0)</f>
        <v>SERRALHEIRO</v>
      </c>
      <c r="L6865" s="26" t="str">
        <f>VLOOKUP(Tabela1[[#This Row],[Cliente]],'BASE DE CLIENTES'!A:E,5,0)</f>
        <v>NA</v>
      </c>
    </row>
    <row r="6866" spans="2:12" x14ac:dyDescent="0.3">
      <c r="B6866" t="s">
        <v>76</v>
      </c>
      <c r="C6866" s="26" t="str">
        <f>VLOOKUP(Tabela1[[#This Row],[Cliente]],'BASE DE CLIENTES'!A:E,2,0)</f>
        <v>Brasília</v>
      </c>
      <c r="D6866" s="26" t="str">
        <f>VLOOKUP(Tabela1[[#This Row],[Cliente]],'BASE DE CLIENTES'!A:C,3,0)</f>
        <v>DF</v>
      </c>
      <c r="E6866" s="26" t="str">
        <f>CONCATENATE(Tabela1[[#This Row],[CIDADE]],",",Tabela1[[#This Row],[UF]])</f>
        <v>Brasília,DF</v>
      </c>
      <c r="F6866" s="12">
        <v>46219</v>
      </c>
      <c r="G6866" s="14">
        <v>2280</v>
      </c>
      <c r="H6866" s="13">
        <v>3432</v>
      </c>
      <c r="I6866" s="7">
        <f>Tabela1[[#This Row],[Valor total]]-Tabela1[[#This Row],[Valor custo]]</f>
        <v>1152</v>
      </c>
      <c r="J6866" s="27">
        <f>Tabela1[[#This Row],[MARGEM BRUTA]]/Tabela1[[#This Row],[Valor total]]</f>
        <v>0.33566433566433568</v>
      </c>
      <c r="K6866" s="26" t="str">
        <f>VLOOKUP(Tabela1[[#This Row],[Cliente]],'BASE DE CLIENTES'!A:D,4,0)</f>
        <v>EMPRESA COM MAQUINA</v>
      </c>
      <c r="L6866" s="26" t="str">
        <f>VLOOKUP(Tabela1[[#This Row],[Cliente]],'BASE DE CLIENTES'!A:E,5,0)</f>
        <v>Setor Placa da Mercedes (Núcleo Bandeirante)</v>
      </c>
    </row>
    <row r="6867" spans="2:12" x14ac:dyDescent="0.3">
      <c r="B6867" t="s">
        <v>38</v>
      </c>
      <c r="C6867" s="26" t="str">
        <f>VLOOKUP(Tabela1[[#This Row],[Cliente]],'BASE DE CLIENTES'!A:E,2,0)</f>
        <v>Brasília</v>
      </c>
      <c r="D6867" s="26" t="str">
        <f>VLOOKUP(Tabela1[[#This Row],[Cliente]],'BASE DE CLIENTES'!A:C,3,0)</f>
        <v>DF</v>
      </c>
      <c r="E6867" s="26" t="str">
        <f>CONCATENATE(Tabela1[[#This Row],[CIDADE]],",",Tabela1[[#This Row],[UF]])</f>
        <v>Brasília,DF</v>
      </c>
      <c r="F6867" s="12">
        <v>46219</v>
      </c>
      <c r="G6867" s="14">
        <v>1046.79</v>
      </c>
      <c r="H6867" s="13">
        <v>1570</v>
      </c>
      <c r="I6867" s="7">
        <f>Tabela1[[#This Row],[Valor total]]-Tabela1[[#This Row],[Valor custo]]</f>
        <v>523.21</v>
      </c>
      <c r="J6867" s="27">
        <f>Tabela1[[#This Row],[MARGEM BRUTA]]/Tabela1[[#This Row],[Valor total]]</f>
        <v>0.33325477707006373</v>
      </c>
      <c r="K6867" s="26" t="str">
        <f>VLOOKUP(Tabela1[[#This Row],[Cliente]],'BASE DE CLIENTES'!A:D,4,0)</f>
        <v>EMPRESA SEM MAQUINA</v>
      </c>
      <c r="L6867" s="26" t="str">
        <f>VLOOKUP(Tabela1[[#This Row],[Cliente]],'BASE DE CLIENTES'!A:E,5,0)</f>
        <v>PONTE ALTA NORTE (GAMA)</v>
      </c>
    </row>
    <row r="6868" spans="2:12" x14ac:dyDescent="0.3">
      <c r="B6868" t="s">
        <v>262</v>
      </c>
      <c r="C6868" s="26" t="str">
        <f>VLOOKUP(Tabela1[[#This Row],[Cliente]],'BASE DE CLIENTES'!A:E,2,0)</f>
        <v>Brasília</v>
      </c>
      <c r="D6868" s="26" t="str">
        <f>VLOOKUP(Tabela1[[#This Row],[Cliente]],'BASE DE CLIENTES'!A:C,3,0)</f>
        <v>DF</v>
      </c>
      <c r="E6868" s="26" t="str">
        <f>CONCATENATE(Tabela1[[#This Row],[CIDADE]],",",Tabela1[[#This Row],[UF]])</f>
        <v>Brasília,DF</v>
      </c>
      <c r="F6868" s="12">
        <v>46219</v>
      </c>
      <c r="G6868" s="14">
        <v>290</v>
      </c>
      <c r="H6868" s="13">
        <v>620</v>
      </c>
      <c r="I6868" s="7">
        <f>Tabela1[[#This Row],[Valor total]]-Tabela1[[#This Row],[Valor custo]]</f>
        <v>330</v>
      </c>
      <c r="J6868" s="27">
        <f>Tabela1[[#This Row],[MARGEM BRUTA]]/Tabela1[[#This Row],[Valor total]]</f>
        <v>0.532258064516129</v>
      </c>
      <c r="K6868" s="26" t="str">
        <f>VLOOKUP(Tabela1[[#This Row],[Cliente]],'BASE DE CLIENTES'!A:D,4,0)</f>
        <v>SERRALHEIRO</v>
      </c>
      <c r="L6868" s="26" t="str">
        <f>VLOOKUP(Tabela1[[#This Row],[Cliente]],'BASE DE CLIENTES'!A:E,5,0)</f>
        <v>SETOR INDUSTRIAL (TAGUATINGA)</v>
      </c>
    </row>
    <row r="6869" spans="2:12" x14ac:dyDescent="0.3">
      <c r="B6869" t="s">
        <v>120</v>
      </c>
      <c r="C6869" s="26" t="str">
        <f>VLOOKUP(Tabela1[[#This Row],[Cliente]],'BASE DE CLIENTES'!A:E,2,0)</f>
        <v>Brasília</v>
      </c>
      <c r="D6869" s="26" t="str">
        <f>VLOOKUP(Tabela1[[#This Row],[Cliente]],'BASE DE CLIENTES'!A:C,3,0)</f>
        <v>DF</v>
      </c>
      <c r="E6869" s="26" t="str">
        <f>CONCATENATE(Tabela1[[#This Row],[CIDADE]],",",Tabela1[[#This Row],[UF]])</f>
        <v>Brasília,DF</v>
      </c>
      <c r="F6869" s="12">
        <v>46219</v>
      </c>
      <c r="G6869" s="14">
        <v>838</v>
      </c>
      <c r="H6869" s="13">
        <v>1330</v>
      </c>
      <c r="I6869" s="7">
        <f>Tabela1[[#This Row],[Valor total]]-Tabela1[[#This Row],[Valor custo]]</f>
        <v>492</v>
      </c>
      <c r="J6869" s="27">
        <f>Tabela1[[#This Row],[MARGEM BRUTA]]/Tabela1[[#This Row],[Valor total]]</f>
        <v>0.36992481203007521</v>
      </c>
      <c r="K6869" s="26" t="str">
        <f>VLOOKUP(Tabela1[[#This Row],[Cliente]],'BASE DE CLIENTES'!A:D,4,0)</f>
        <v>EMPRESA SEM MAQUINA</v>
      </c>
      <c r="L6869" s="26" t="str">
        <f>VLOOKUP(Tabela1[[#This Row],[Cliente]],'BASE DE CLIENTES'!A:E,5,0)</f>
        <v>SAMAMBAIA</v>
      </c>
    </row>
    <row r="6870" spans="2:12" x14ac:dyDescent="0.3">
      <c r="B6870" t="s">
        <v>1223</v>
      </c>
      <c r="C6870" s="26" t="str">
        <f>VLOOKUP(Tabela1[[#This Row],[Cliente]],'BASE DE CLIENTES'!A:E,2,0)</f>
        <v>MERCADO LIVRE</v>
      </c>
      <c r="D6870" s="26" t="str">
        <f>VLOOKUP(Tabela1[[#This Row],[Cliente]],'BASE DE CLIENTES'!A:C,3,0)</f>
        <v>MERCADO LIVRE</v>
      </c>
      <c r="E6870" s="26" t="str">
        <f>CONCATENATE(Tabela1[[#This Row],[CIDADE]],",",Tabela1[[#This Row],[UF]])</f>
        <v>MERCADO LIVRE,MERCADO LIVRE</v>
      </c>
      <c r="F6870" s="12">
        <v>46219</v>
      </c>
      <c r="G6870" s="14">
        <v>45.6</v>
      </c>
      <c r="H6870" s="13">
        <v>297.51</v>
      </c>
      <c r="I6870" s="7">
        <f>Tabela1[[#This Row],[Valor total]]-Tabela1[[#This Row],[Valor custo]]</f>
        <v>251.91</v>
      </c>
      <c r="J6870" s="27">
        <f>Tabela1[[#This Row],[MARGEM BRUTA]]/Tabela1[[#This Row],[Valor total]]</f>
        <v>0.8467278410809721</v>
      </c>
      <c r="K6870" s="26" t="str">
        <f>VLOOKUP(Tabela1[[#This Row],[Cliente]],'BASE DE CLIENTES'!A:D,4,0)</f>
        <v>OUTROS RAMOS</v>
      </c>
      <c r="L6870" s="26" t="str">
        <f>VLOOKUP(Tabela1[[#This Row],[Cliente]],'BASE DE CLIENTES'!A:E,5,0)</f>
        <v>MERCADO LIVRE</v>
      </c>
    </row>
    <row r="6871" spans="2:12" x14ac:dyDescent="0.3">
      <c r="B6871" t="s">
        <v>68</v>
      </c>
      <c r="C6871" s="26" t="str">
        <f>VLOOKUP(Tabela1[[#This Row],[Cliente]],'BASE DE CLIENTES'!A:E,2,0)</f>
        <v>Brasília</v>
      </c>
      <c r="D6871" s="26" t="str">
        <f>VLOOKUP(Tabela1[[#This Row],[Cliente]],'BASE DE CLIENTES'!A:C,3,0)</f>
        <v>DF</v>
      </c>
      <c r="E6871" s="26" t="str">
        <f>CONCATENATE(Tabela1[[#This Row],[CIDADE]],",",Tabela1[[#This Row],[UF]])</f>
        <v>Brasília,DF</v>
      </c>
      <c r="F6871" s="12">
        <v>46219</v>
      </c>
      <c r="G6871" s="14">
        <v>175</v>
      </c>
      <c r="H6871" s="13">
        <v>230</v>
      </c>
      <c r="I6871" s="7">
        <f>Tabela1[[#This Row],[Valor total]]-Tabela1[[#This Row],[Valor custo]]</f>
        <v>55</v>
      </c>
      <c r="J6871" s="27">
        <f>Tabela1[[#This Row],[MARGEM BRUTA]]/Tabela1[[#This Row],[Valor total]]</f>
        <v>0.2391304347826087</v>
      </c>
      <c r="K6871" s="26" t="str">
        <f>VLOOKUP(Tabela1[[#This Row],[Cliente]],'BASE DE CLIENTES'!A:D,4,0)</f>
        <v>EMPRESA COM MAQUINA</v>
      </c>
      <c r="L6871" s="26" t="str">
        <f>VLOOKUP(Tabela1[[#This Row],[Cliente]],'BASE DE CLIENTES'!A:E,5,0)</f>
        <v>SAMAMBAIA SUL (SAMAMBAIA)</v>
      </c>
    </row>
    <row r="6872" spans="2:12" x14ac:dyDescent="0.3">
      <c r="B6872" t="s">
        <v>316</v>
      </c>
      <c r="C6872" s="26" t="str">
        <f>VLOOKUP(Tabela1[[#This Row],[Cliente]],'BASE DE CLIENTES'!A:E,2,0)</f>
        <v>Valparaíso de Goiás</v>
      </c>
      <c r="D6872" s="26" t="str">
        <f>VLOOKUP(Tabela1[[#This Row],[Cliente]],'BASE DE CLIENTES'!A:C,3,0)</f>
        <v>GO</v>
      </c>
      <c r="E6872" s="26" t="str">
        <f>CONCATENATE(Tabela1[[#This Row],[CIDADE]],",",Tabela1[[#This Row],[UF]])</f>
        <v>Valparaíso de Goiás,GO</v>
      </c>
      <c r="F6872" s="12">
        <v>46219</v>
      </c>
      <c r="G6872" s="14">
        <v>2514</v>
      </c>
      <c r="H6872" s="13">
        <v>3690</v>
      </c>
      <c r="I6872" s="7">
        <f>Tabela1[[#This Row],[Valor total]]-Tabela1[[#This Row],[Valor custo]]</f>
        <v>1176</v>
      </c>
      <c r="J6872" s="27">
        <f>Tabela1[[#This Row],[MARGEM BRUTA]]/Tabela1[[#This Row],[Valor total]]</f>
        <v>0.31869918699186994</v>
      </c>
      <c r="K6872" s="26" t="str">
        <f>VLOOKUP(Tabela1[[#This Row],[Cliente]],'BASE DE CLIENTES'!A:D,4,0)</f>
        <v>SERRALHEIRO</v>
      </c>
      <c r="L6872" s="26" t="str">
        <f>VLOOKUP(Tabela1[[#This Row],[Cliente]],'BASE DE CLIENTES'!A:E,5,0)</f>
        <v>Valparaíso de Goiás</v>
      </c>
    </row>
    <row r="6873" spans="2:12" x14ac:dyDescent="0.3">
      <c r="B6873" t="s">
        <v>161</v>
      </c>
      <c r="C6873" s="26" t="str">
        <f>VLOOKUP(Tabela1[[#This Row],[Cliente]],'BASE DE CLIENTES'!A:E,2,0)</f>
        <v>Brasília</v>
      </c>
      <c r="D6873" s="26" t="str">
        <f>VLOOKUP(Tabela1[[#This Row],[Cliente]],'BASE DE CLIENTES'!A:C,3,0)</f>
        <v>DF</v>
      </c>
      <c r="E6873" s="26" t="str">
        <f>CONCATENATE(Tabela1[[#This Row],[CIDADE]],",",Tabela1[[#This Row],[UF]])</f>
        <v>Brasília,DF</v>
      </c>
      <c r="F6873" s="12">
        <v>46219</v>
      </c>
      <c r="G6873" s="14">
        <v>13310.9</v>
      </c>
      <c r="H6873" s="13">
        <v>19575</v>
      </c>
      <c r="I6873" s="7">
        <f>Tabela1[[#This Row],[Valor total]]-Tabela1[[#This Row],[Valor custo]]</f>
        <v>6264.1</v>
      </c>
      <c r="J6873" s="27">
        <f>Tabela1[[#This Row],[MARGEM BRUTA]]/Tabela1[[#This Row],[Valor total]]</f>
        <v>0.32000510855683273</v>
      </c>
      <c r="K6873" s="26" t="str">
        <f>VLOOKUP(Tabela1[[#This Row],[Cliente]],'BASE DE CLIENTES'!A:D,4,0)</f>
        <v>EMPRESA COM MAQUINA</v>
      </c>
      <c r="L6873" s="26" t="str">
        <f>VLOOKUP(Tabela1[[#This Row],[Cliente]],'BASE DE CLIENTES'!A:E,5,0)</f>
        <v>RIACHO FUNDO II</v>
      </c>
    </row>
    <row r="6874" spans="2:12" x14ac:dyDescent="0.3">
      <c r="B6874" t="s">
        <v>19</v>
      </c>
      <c r="C6874" s="26" t="str">
        <f>VLOOKUP(Tabela1[[#This Row],[Cliente]],'BASE DE CLIENTES'!A:E,2,0)</f>
        <v>Águas Lindas de Goiás</v>
      </c>
      <c r="D6874" s="26" t="str">
        <f>VLOOKUP(Tabela1[[#This Row],[Cliente]],'BASE DE CLIENTES'!A:C,3,0)</f>
        <v>GO</v>
      </c>
      <c r="E6874" s="26" t="str">
        <f>CONCATENATE(Tabela1[[#This Row],[CIDADE]],",",Tabela1[[#This Row],[UF]])</f>
        <v>Águas Lindas de Goiás,GO</v>
      </c>
      <c r="F6874" s="12">
        <v>46219</v>
      </c>
      <c r="G6874" s="14">
        <v>1257</v>
      </c>
      <c r="H6874" s="13">
        <v>1935</v>
      </c>
      <c r="I6874" s="7">
        <f>Tabela1[[#This Row],[Valor total]]-Tabela1[[#This Row],[Valor custo]]</f>
        <v>678</v>
      </c>
      <c r="J6874" s="27">
        <f>Tabela1[[#This Row],[MARGEM BRUTA]]/Tabela1[[#This Row],[Valor total]]</f>
        <v>0.35038759689922483</v>
      </c>
      <c r="K6874" s="26" t="str">
        <f>VLOOKUP(Tabela1[[#This Row],[Cliente]],'BASE DE CLIENTES'!A:D,4,0)</f>
        <v>SERRALHEIRO</v>
      </c>
      <c r="L6874" s="26" t="str">
        <f>VLOOKUP(Tabela1[[#This Row],[Cliente]],'BASE DE CLIENTES'!A:E,5,0)</f>
        <v>Águas Lindas de Goiás</v>
      </c>
    </row>
    <row r="6875" spans="2:12" x14ac:dyDescent="0.3">
      <c r="B6875" t="s">
        <v>27</v>
      </c>
      <c r="C6875" s="26" t="str">
        <f>VLOOKUP(Tabela1[[#This Row],[Cliente]],'BASE DE CLIENTES'!A:E,2,0)</f>
        <v>Brasília</v>
      </c>
      <c r="D6875" s="26" t="str">
        <f>VLOOKUP(Tabela1[[#This Row],[Cliente]],'BASE DE CLIENTES'!A:C,3,0)</f>
        <v>DF</v>
      </c>
      <c r="E6875" s="26" t="str">
        <f>CONCATENATE(Tabela1[[#This Row],[CIDADE]],",",Tabela1[[#This Row],[UF]])</f>
        <v>Brasília,DF</v>
      </c>
      <c r="F6875" s="12">
        <v>46219</v>
      </c>
      <c r="G6875" s="14">
        <v>486.18</v>
      </c>
      <c r="H6875" s="13">
        <v>660</v>
      </c>
      <c r="I6875" s="7">
        <f>Tabela1[[#This Row],[Valor total]]-Tabela1[[#This Row],[Valor custo]]</f>
        <v>173.82</v>
      </c>
      <c r="J6875" s="27">
        <f>Tabela1[[#This Row],[MARGEM BRUTA]]/Tabela1[[#This Row],[Valor total]]</f>
        <v>0.26336363636363636</v>
      </c>
      <c r="K6875" s="26" t="str">
        <f>VLOOKUP(Tabela1[[#This Row],[Cliente]],'BASE DE CLIENTES'!A:D,4,0)</f>
        <v>EMPRESA SEM MAQUINA</v>
      </c>
      <c r="L6875" s="26" t="str">
        <f>VLOOKUP(Tabela1[[#This Row],[Cliente]],'BASE DE CLIENTES'!A:E,5,0)</f>
        <v>RECANTO DAS EMAS</v>
      </c>
    </row>
    <row r="6876" spans="2:12" x14ac:dyDescent="0.3">
      <c r="B6876" t="s">
        <v>42</v>
      </c>
      <c r="C6876" s="26" t="str">
        <f>VLOOKUP(Tabela1[[#This Row],[Cliente]],'BASE DE CLIENTES'!A:E,2,0)</f>
        <v>Brasília</v>
      </c>
      <c r="D6876" s="26" t="str">
        <f>VLOOKUP(Tabela1[[#This Row],[Cliente]],'BASE DE CLIENTES'!A:C,3,0)</f>
        <v>DF</v>
      </c>
      <c r="E6876" s="26" t="str">
        <f>CONCATENATE(Tabela1[[#This Row],[CIDADE]],",",Tabela1[[#This Row],[UF]])</f>
        <v>Brasília,DF</v>
      </c>
      <c r="F6876" s="12">
        <v>46219</v>
      </c>
      <c r="G6876" s="14">
        <v>1429.48</v>
      </c>
      <c r="H6876" s="13">
        <v>2200</v>
      </c>
      <c r="I6876" s="7">
        <f>Tabela1[[#This Row],[Valor total]]-Tabela1[[#This Row],[Valor custo]]</f>
        <v>770.52</v>
      </c>
      <c r="J6876" s="27">
        <f>Tabela1[[#This Row],[MARGEM BRUTA]]/Tabela1[[#This Row],[Valor total]]</f>
        <v>0.35023636363636362</v>
      </c>
      <c r="K6876" s="26" t="str">
        <f>VLOOKUP(Tabela1[[#This Row],[Cliente]],'BASE DE CLIENTES'!A:D,4,0)</f>
        <v>EMPRESA SEM MAQUINA</v>
      </c>
      <c r="L6876" s="26" t="str">
        <f>VLOOKUP(Tabela1[[#This Row],[Cliente]],'BASE DE CLIENTES'!A:E,5,0)</f>
        <v>SAMAMBAIA</v>
      </c>
    </row>
    <row r="6877" spans="2:12" x14ac:dyDescent="0.3">
      <c r="B6877" t="s">
        <v>92</v>
      </c>
      <c r="C6877" s="26" t="str">
        <f>VLOOKUP(Tabela1[[#This Row],[Cliente]],'BASE DE CLIENTES'!A:E,2,0)</f>
        <v>Brasília</v>
      </c>
      <c r="D6877" s="26" t="str">
        <f>VLOOKUP(Tabela1[[#This Row],[Cliente]],'BASE DE CLIENTES'!A:C,3,0)</f>
        <v>DF</v>
      </c>
      <c r="E6877" s="26" t="str">
        <f>CONCATENATE(Tabela1[[#This Row],[CIDADE]],",",Tabela1[[#This Row],[UF]])</f>
        <v>Brasília,DF</v>
      </c>
      <c r="F6877" s="12">
        <v>46219</v>
      </c>
      <c r="G6877" s="14">
        <v>1257</v>
      </c>
      <c r="H6877" s="13">
        <v>1845</v>
      </c>
      <c r="I6877" s="7">
        <f>Tabela1[[#This Row],[Valor total]]-Tabela1[[#This Row],[Valor custo]]</f>
        <v>588</v>
      </c>
      <c r="J6877" s="27">
        <f>Tabela1[[#This Row],[MARGEM BRUTA]]/Tabela1[[#This Row],[Valor total]]</f>
        <v>0.31869918699186994</v>
      </c>
      <c r="K6877" s="26" t="str">
        <f>VLOOKUP(Tabela1[[#This Row],[Cliente]],'BASE DE CLIENTES'!A:D,4,0)</f>
        <v>EMPRESA SEM MAQUINA</v>
      </c>
      <c r="L6877" s="26" t="str">
        <f>VLOOKUP(Tabela1[[#This Row],[Cliente]],'BASE DE CLIENTES'!A:E,5,0)</f>
        <v>SOBRADINHO</v>
      </c>
    </row>
    <row r="6878" spans="2:12" x14ac:dyDescent="0.3">
      <c r="B6878" t="s">
        <v>111</v>
      </c>
      <c r="C6878" s="26" t="str">
        <f>VLOOKUP(Tabela1[[#This Row],[Cliente]],'BASE DE CLIENTES'!A:E,2,0)</f>
        <v>Brasília</v>
      </c>
      <c r="D6878" s="26" t="str">
        <f>VLOOKUP(Tabela1[[#This Row],[Cliente]],'BASE DE CLIENTES'!A:C,3,0)</f>
        <v>DF</v>
      </c>
      <c r="E6878" s="26" t="str">
        <f>CONCATENATE(Tabela1[[#This Row],[CIDADE]],",",Tabela1[[#This Row],[UF]])</f>
        <v>Brasília,DF</v>
      </c>
      <c r="F6878" s="12">
        <v>46218</v>
      </c>
      <c r="G6878" s="14">
        <v>1172.79</v>
      </c>
      <c r="H6878" s="13">
        <v>1750</v>
      </c>
      <c r="I6878" s="7">
        <f>Tabela1[[#This Row],[Valor total]]-Tabela1[[#This Row],[Valor custo]]</f>
        <v>577.21</v>
      </c>
      <c r="J6878" s="27">
        <f>Tabela1[[#This Row],[MARGEM BRUTA]]/Tabela1[[#This Row],[Valor total]]</f>
        <v>0.32983428571428575</v>
      </c>
      <c r="K6878" s="26" t="str">
        <f>VLOOKUP(Tabela1[[#This Row],[Cliente]],'BASE DE CLIENTES'!A:D,4,0)</f>
        <v>EMPRESA SEM MAQUINA</v>
      </c>
      <c r="L6878" s="26" t="str">
        <f>VLOOKUP(Tabela1[[#This Row],[Cliente]],'BASE DE CLIENTES'!A:E,5,0)</f>
        <v>TAGUATINGA SUL (TAGUATINGA)</v>
      </c>
    </row>
    <row r="6879" spans="2:12" x14ac:dyDescent="0.3">
      <c r="B6879" t="s">
        <v>38</v>
      </c>
      <c r="C6879" s="26" t="str">
        <f>VLOOKUP(Tabela1[[#This Row],[Cliente]],'BASE DE CLIENTES'!A:E,2,0)</f>
        <v>Brasília</v>
      </c>
      <c r="D6879" s="26" t="str">
        <f>VLOOKUP(Tabela1[[#This Row],[Cliente]],'BASE DE CLIENTES'!A:C,3,0)</f>
        <v>DF</v>
      </c>
      <c r="E6879" s="26" t="str">
        <f>CONCATENATE(Tabela1[[#This Row],[CIDADE]],",",Tabela1[[#This Row],[UF]])</f>
        <v>Brasília,DF</v>
      </c>
      <c r="F6879" s="12">
        <v>46218</v>
      </c>
      <c r="G6879" s="14">
        <v>838</v>
      </c>
      <c r="H6879" s="13">
        <v>1300</v>
      </c>
      <c r="I6879" s="7">
        <f>Tabela1[[#This Row],[Valor total]]-Tabela1[[#This Row],[Valor custo]]</f>
        <v>462</v>
      </c>
      <c r="J6879" s="27">
        <f>Tabela1[[#This Row],[MARGEM BRUTA]]/Tabela1[[#This Row],[Valor total]]</f>
        <v>0.35538461538461541</v>
      </c>
      <c r="K6879" s="26" t="str">
        <f>VLOOKUP(Tabela1[[#This Row],[Cliente]],'BASE DE CLIENTES'!A:D,4,0)</f>
        <v>EMPRESA SEM MAQUINA</v>
      </c>
      <c r="L6879" s="26" t="str">
        <f>VLOOKUP(Tabela1[[#This Row],[Cliente]],'BASE DE CLIENTES'!A:E,5,0)</f>
        <v>PONTE ALTA NORTE (GAMA)</v>
      </c>
    </row>
    <row r="6880" spans="2:12" x14ac:dyDescent="0.3">
      <c r="B6880" t="s">
        <v>232</v>
      </c>
      <c r="C6880" s="26" t="str">
        <f>VLOOKUP(Tabela1[[#This Row],[Cliente]],'BASE DE CLIENTES'!A:E,2,0)</f>
        <v>Brasília</v>
      </c>
      <c r="D6880" s="26" t="str">
        <f>VLOOKUP(Tabela1[[#This Row],[Cliente]],'BASE DE CLIENTES'!A:C,3,0)</f>
        <v>DF</v>
      </c>
      <c r="E6880" s="26" t="str">
        <f>CONCATENATE(Tabela1[[#This Row],[CIDADE]],",",Tabela1[[#This Row],[UF]])</f>
        <v>Brasília,DF</v>
      </c>
      <c r="F6880" s="12">
        <v>46218</v>
      </c>
      <c r="G6880" s="14">
        <v>191</v>
      </c>
      <c r="H6880" s="13">
        <v>300</v>
      </c>
      <c r="I6880" s="7">
        <f>Tabela1[[#This Row],[Valor total]]-Tabela1[[#This Row],[Valor custo]]</f>
        <v>109</v>
      </c>
      <c r="J6880" s="27">
        <f>Tabela1[[#This Row],[MARGEM BRUTA]]/Tabela1[[#This Row],[Valor total]]</f>
        <v>0.36333333333333334</v>
      </c>
      <c r="K6880" s="26" t="str">
        <f>VLOOKUP(Tabela1[[#This Row],[Cliente]],'BASE DE CLIENTES'!A:D,4,0)</f>
        <v>CHAVEIRO</v>
      </c>
      <c r="L6880" s="26" t="str">
        <f>VLOOKUP(Tabela1[[#This Row],[Cliente]],'BASE DE CLIENTES'!A:E,5,0)</f>
        <v>Areal (Águas Claras)</v>
      </c>
    </row>
    <row r="6881" spans="2:12" x14ac:dyDescent="0.3">
      <c r="B6881" t="s">
        <v>1307</v>
      </c>
      <c r="C6881" s="26" t="str">
        <f>VLOOKUP(Tabela1[[#This Row],[Cliente]],'BASE DE CLIENTES'!A:E,2,0)</f>
        <v>Brasília</v>
      </c>
      <c r="D6881" s="26" t="str">
        <f>VLOOKUP(Tabela1[[#This Row],[Cliente]],'BASE DE CLIENTES'!A:C,3,0)</f>
        <v>DF</v>
      </c>
      <c r="E6881" s="26" t="str">
        <f>CONCATENATE(Tabela1[[#This Row],[CIDADE]],",",Tabela1[[#This Row],[UF]])</f>
        <v>Brasília,DF</v>
      </c>
      <c r="F6881" s="12">
        <v>46218</v>
      </c>
      <c r="G6881" s="14">
        <v>191</v>
      </c>
      <c r="H6881" s="13">
        <v>320</v>
      </c>
      <c r="I6881" s="7">
        <f>Tabela1[[#This Row],[Valor total]]-Tabela1[[#This Row],[Valor custo]]</f>
        <v>129</v>
      </c>
      <c r="J6881" s="27">
        <f>Tabela1[[#This Row],[MARGEM BRUTA]]/Tabela1[[#This Row],[Valor total]]</f>
        <v>0.40312500000000001</v>
      </c>
      <c r="K6881" s="26" t="str">
        <f>VLOOKUP(Tabela1[[#This Row],[Cliente]],'BASE DE CLIENTES'!A:D,4,0)</f>
        <v>CLIENTE NOVO S/ IDENT.</v>
      </c>
      <c r="L6881" s="26" t="str">
        <f>VLOOKUP(Tabela1[[#This Row],[Cliente]],'BASE DE CLIENTES'!A:E,5,0)</f>
        <v>TAGUATINGA</v>
      </c>
    </row>
    <row r="6882" spans="2:12" x14ac:dyDescent="0.3">
      <c r="B6882" t="s">
        <v>27</v>
      </c>
      <c r="C6882" s="26" t="str">
        <f>VLOOKUP(Tabela1[[#This Row],[Cliente]],'BASE DE CLIENTES'!A:E,2,0)</f>
        <v>Brasília</v>
      </c>
      <c r="D6882" s="26" t="str">
        <f>VLOOKUP(Tabela1[[#This Row],[Cliente]],'BASE DE CLIENTES'!A:C,3,0)</f>
        <v>DF</v>
      </c>
      <c r="E6882" s="26" t="str">
        <f>CONCATENATE(Tabela1[[#This Row],[CIDADE]],",",Tabela1[[#This Row],[UF]])</f>
        <v>Brasília,DF</v>
      </c>
      <c r="F6882" s="12">
        <v>46218</v>
      </c>
      <c r="G6882" s="14">
        <v>380</v>
      </c>
      <c r="H6882" s="13">
        <v>615</v>
      </c>
      <c r="I6882" s="7">
        <f>Tabela1[[#This Row],[Valor total]]-Tabela1[[#This Row],[Valor custo]]</f>
        <v>235</v>
      </c>
      <c r="J6882" s="27">
        <f>Tabela1[[#This Row],[MARGEM BRUTA]]/Tabela1[[#This Row],[Valor total]]</f>
        <v>0.38211382113821141</v>
      </c>
      <c r="K6882" s="26" t="str">
        <f>VLOOKUP(Tabela1[[#This Row],[Cliente]],'BASE DE CLIENTES'!A:D,4,0)</f>
        <v>EMPRESA SEM MAQUINA</v>
      </c>
      <c r="L6882" s="26" t="str">
        <f>VLOOKUP(Tabela1[[#This Row],[Cliente]],'BASE DE CLIENTES'!A:E,5,0)</f>
        <v>RECANTO DAS EMAS</v>
      </c>
    </row>
    <row r="6883" spans="2:12" x14ac:dyDescent="0.3">
      <c r="B6883" t="s">
        <v>112</v>
      </c>
      <c r="C6883" s="26" t="str">
        <f>VLOOKUP(Tabela1[[#This Row],[Cliente]],'BASE DE CLIENTES'!A:E,2,0)</f>
        <v>Brasília</v>
      </c>
      <c r="D6883" s="26" t="str">
        <f>VLOOKUP(Tabela1[[#This Row],[Cliente]],'BASE DE CLIENTES'!A:C,3,0)</f>
        <v>DF</v>
      </c>
      <c r="E6883" s="26" t="str">
        <f>CONCATENATE(Tabela1[[#This Row],[CIDADE]],",",Tabela1[[#This Row],[UF]])</f>
        <v>Brasília,DF</v>
      </c>
      <c r="F6883" s="12">
        <v>46218</v>
      </c>
      <c r="G6883" s="14">
        <v>42</v>
      </c>
      <c r="H6883" s="13">
        <v>70</v>
      </c>
      <c r="I6883" s="7">
        <f>Tabela1[[#This Row],[Valor total]]-Tabela1[[#This Row],[Valor custo]]</f>
        <v>28</v>
      </c>
      <c r="J6883" s="27">
        <f>Tabela1[[#This Row],[MARGEM BRUTA]]/Tabela1[[#This Row],[Valor total]]</f>
        <v>0.4</v>
      </c>
      <c r="K6883" s="26" t="str">
        <f>VLOOKUP(Tabela1[[#This Row],[Cliente]],'BASE DE CLIENTES'!A:D,4,0)</f>
        <v>SERRALHEIRO</v>
      </c>
      <c r="L6883" s="26" t="str">
        <f>VLOOKUP(Tabela1[[#This Row],[Cliente]],'BASE DE CLIENTES'!A:E,5,0)</f>
        <v>RIACHO FUNDO I</v>
      </c>
    </row>
    <row r="6884" spans="2:12" x14ac:dyDescent="0.3">
      <c r="B6884" t="s">
        <v>111</v>
      </c>
      <c r="C6884" s="26" t="str">
        <f>VLOOKUP(Tabela1[[#This Row],[Cliente]],'BASE DE CLIENTES'!A:E,2,0)</f>
        <v>Brasília</v>
      </c>
      <c r="D6884" s="26" t="str">
        <f>VLOOKUP(Tabela1[[#This Row],[Cliente]],'BASE DE CLIENTES'!A:C,3,0)</f>
        <v>DF</v>
      </c>
      <c r="E6884" s="26" t="str">
        <f>CONCATENATE(Tabela1[[#This Row],[CIDADE]],",",Tabela1[[#This Row],[UF]])</f>
        <v>Brasília,DF</v>
      </c>
      <c r="F6884" s="12">
        <v>46218</v>
      </c>
      <c r="G6884" s="14">
        <v>436.28</v>
      </c>
      <c r="H6884" s="13">
        <v>655</v>
      </c>
      <c r="I6884" s="7">
        <f>Tabela1[[#This Row],[Valor total]]-Tabela1[[#This Row],[Valor custo]]</f>
        <v>218.72000000000003</v>
      </c>
      <c r="J6884" s="27">
        <f>Tabela1[[#This Row],[MARGEM BRUTA]]/Tabela1[[#This Row],[Valor total]]</f>
        <v>0.33392366412213742</v>
      </c>
      <c r="K6884" s="26" t="str">
        <f>VLOOKUP(Tabela1[[#This Row],[Cliente]],'BASE DE CLIENTES'!A:D,4,0)</f>
        <v>EMPRESA SEM MAQUINA</v>
      </c>
      <c r="L6884" s="26" t="str">
        <f>VLOOKUP(Tabela1[[#This Row],[Cliente]],'BASE DE CLIENTES'!A:E,5,0)</f>
        <v>TAGUATINGA SUL (TAGUATINGA)</v>
      </c>
    </row>
    <row r="6885" spans="2:12" x14ac:dyDescent="0.3">
      <c r="B6885" t="s">
        <v>117</v>
      </c>
      <c r="C6885" s="26" t="str">
        <f>VLOOKUP(Tabela1[[#This Row],[Cliente]],'BASE DE CLIENTES'!A:E,2,0)</f>
        <v>Brasília</v>
      </c>
      <c r="D6885" s="26" t="str">
        <f>VLOOKUP(Tabela1[[#This Row],[Cliente]],'BASE DE CLIENTES'!A:C,3,0)</f>
        <v>DF</v>
      </c>
      <c r="E6885" s="26" t="str">
        <f>CONCATENATE(Tabela1[[#This Row],[CIDADE]],",",Tabela1[[#This Row],[UF]])</f>
        <v>Brasília,DF</v>
      </c>
      <c r="F6885" s="12">
        <v>46217</v>
      </c>
      <c r="G6885" s="14">
        <v>48</v>
      </c>
      <c r="H6885" s="13">
        <v>100</v>
      </c>
      <c r="I6885" s="7">
        <f>Tabela1[[#This Row],[Valor total]]-Tabela1[[#This Row],[Valor custo]]</f>
        <v>52</v>
      </c>
      <c r="J6885" s="27">
        <f>Tabela1[[#This Row],[MARGEM BRUTA]]/Tabela1[[#This Row],[Valor total]]</f>
        <v>0.52</v>
      </c>
      <c r="K6885" s="26" t="str">
        <f>VLOOKUP(Tabela1[[#This Row],[Cliente]],'BASE DE CLIENTES'!A:D,4,0)</f>
        <v>EMPRESA COM MAQUINA</v>
      </c>
      <c r="L6885" s="26" t="str">
        <f>VLOOKUP(Tabela1[[#This Row],[Cliente]],'BASE DE CLIENTES'!A:E,5,0)</f>
        <v>SETOR HABITACIONAL ARNIQUEIRA (AGUAS CLARAS)</v>
      </c>
    </row>
    <row r="6886" spans="2:12" x14ac:dyDescent="0.3">
      <c r="B6886" t="s">
        <v>23</v>
      </c>
      <c r="C6886" s="26" t="str">
        <f>VLOOKUP(Tabela1[[#This Row],[Cliente]],'BASE DE CLIENTES'!A:E,2,0)</f>
        <v>Brasília</v>
      </c>
      <c r="D6886" s="26" t="str">
        <f>VLOOKUP(Tabela1[[#This Row],[Cliente]],'BASE DE CLIENTES'!A:C,3,0)</f>
        <v>DF</v>
      </c>
      <c r="E6886" s="26" t="str">
        <f>CONCATENATE(Tabela1[[#This Row],[CIDADE]],",",Tabela1[[#This Row],[UF]])</f>
        <v>Brasília,DF</v>
      </c>
      <c r="F6886" s="12">
        <v>46217</v>
      </c>
      <c r="G6886" s="14">
        <v>42</v>
      </c>
      <c r="H6886" s="13">
        <v>70</v>
      </c>
      <c r="I6886" s="7">
        <f>Tabela1[[#This Row],[Valor total]]-Tabela1[[#This Row],[Valor custo]]</f>
        <v>28</v>
      </c>
      <c r="J6886" s="27">
        <f>Tabela1[[#This Row],[MARGEM BRUTA]]/Tabela1[[#This Row],[Valor total]]</f>
        <v>0.4</v>
      </c>
      <c r="K6886" s="26" t="str">
        <f>VLOOKUP(Tabela1[[#This Row],[Cliente]],'BASE DE CLIENTES'!A:D,4,0)</f>
        <v>EMPRESA SEM MAQUINA</v>
      </c>
      <c r="L6886" s="26" t="str">
        <f>VLOOKUP(Tabela1[[#This Row],[Cliente]],'BASE DE CLIENTES'!A:E,5,0)</f>
        <v>SETOR INDUSTRIAL (TAGUATINGA)</v>
      </c>
    </row>
    <row r="6887" spans="2:12" x14ac:dyDescent="0.3">
      <c r="B6887" t="s">
        <v>52</v>
      </c>
      <c r="C6887" s="26" t="str">
        <f>VLOOKUP(Tabela1[[#This Row],[Cliente]],'BASE DE CLIENTES'!A:E,2,0)</f>
        <v>Brasília</v>
      </c>
      <c r="D6887" s="26" t="str">
        <f>VLOOKUP(Tabela1[[#This Row],[Cliente]],'BASE DE CLIENTES'!A:C,3,0)</f>
        <v>DF</v>
      </c>
      <c r="E6887" s="26" t="str">
        <f>CONCATENATE(Tabela1[[#This Row],[CIDADE]],",",Tabela1[[#This Row],[UF]])</f>
        <v>Brasília,DF</v>
      </c>
      <c r="F6887" s="12">
        <v>46217</v>
      </c>
      <c r="G6887" s="14">
        <v>380</v>
      </c>
      <c r="H6887" s="13">
        <v>650</v>
      </c>
      <c r="I6887" s="7">
        <f>Tabela1[[#This Row],[Valor total]]-Tabela1[[#This Row],[Valor custo]]</f>
        <v>270</v>
      </c>
      <c r="J6887" s="27">
        <f>Tabela1[[#This Row],[MARGEM BRUTA]]/Tabela1[[#This Row],[Valor total]]</f>
        <v>0.41538461538461541</v>
      </c>
      <c r="K6887" s="26" t="str">
        <f>VLOOKUP(Tabela1[[#This Row],[Cliente]],'BASE DE CLIENTES'!A:D,4,0)</f>
        <v>SERRALHEIRO</v>
      </c>
      <c r="L6887" s="26" t="str">
        <f>VLOOKUP(Tabela1[[#This Row],[Cliente]],'BASE DE CLIENTES'!A:E,5,0)</f>
        <v>Ceilândia Sul (Ceilândia)</v>
      </c>
    </row>
    <row r="6888" spans="2:12" x14ac:dyDescent="0.3">
      <c r="B6888" t="s">
        <v>96</v>
      </c>
      <c r="C6888" s="26" t="str">
        <f>VLOOKUP(Tabela1[[#This Row],[Cliente]],'BASE DE CLIENTES'!A:E,2,0)</f>
        <v>Brasília</v>
      </c>
      <c r="D6888" s="26" t="str">
        <f>VLOOKUP(Tabela1[[#This Row],[Cliente]],'BASE DE CLIENTES'!A:C,3,0)</f>
        <v>DF</v>
      </c>
      <c r="E6888" s="26" t="str">
        <f>CONCATENATE(Tabela1[[#This Row],[CIDADE]],",",Tabela1[[#This Row],[UF]])</f>
        <v>Brasília,DF</v>
      </c>
      <c r="F6888" s="12">
        <v>46218</v>
      </c>
      <c r="G6888" s="14">
        <v>1425.84</v>
      </c>
      <c r="H6888" s="13">
        <v>1995</v>
      </c>
      <c r="I6888" s="7">
        <f>Tabela1[[#This Row],[Valor total]]-Tabela1[[#This Row],[Valor custo]]</f>
        <v>569.16000000000008</v>
      </c>
      <c r="J6888" s="27">
        <f>Tabela1[[#This Row],[MARGEM BRUTA]]/Tabela1[[#This Row],[Valor total]]</f>
        <v>0.28529323308270682</v>
      </c>
      <c r="K6888" s="26" t="str">
        <f>VLOOKUP(Tabela1[[#This Row],[Cliente]],'BASE DE CLIENTES'!A:D,4,0)</f>
        <v>EMPRESA SEM MAQUINA</v>
      </c>
      <c r="L6888" s="26" t="str">
        <f>VLOOKUP(Tabela1[[#This Row],[Cliente]],'BASE DE CLIENTES'!A:E,5,0)</f>
        <v>CEILANDIA NORTE (CEILANDIA)</v>
      </c>
    </row>
    <row r="6889" spans="2:12" x14ac:dyDescent="0.3">
      <c r="B6889" t="s">
        <v>216</v>
      </c>
      <c r="C6889" s="26" t="str">
        <f>VLOOKUP(Tabela1[[#This Row],[Cliente]],'BASE DE CLIENTES'!A:E,2,0)</f>
        <v>Brasília</v>
      </c>
      <c r="D6889" s="26" t="str">
        <f>VLOOKUP(Tabela1[[#This Row],[Cliente]],'BASE DE CLIENTES'!A:C,3,0)</f>
        <v>DF</v>
      </c>
      <c r="E6889" s="26" t="str">
        <f>CONCATENATE(Tabela1[[#This Row],[CIDADE]],",",Tabela1[[#This Row],[UF]])</f>
        <v>Brasília,DF</v>
      </c>
      <c r="F6889" s="12">
        <v>46218</v>
      </c>
      <c r="G6889" s="14">
        <v>4845</v>
      </c>
      <c r="H6889" s="13">
        <v>5800</v>
      </c>
      <c r="I6889" s="7">
        <f>Tabela1[[#This Row],[Valor total]]-Tabela1[[#This Row],[Valor custo]]</f>
        <v>955</v>
      </c>
      <c r="J6889" s="27">
        <f>Tabela1[[#This Row],[MARGEM BRUTA]]/Tabela1[[#This Row],[Valor total]]</f>
        <v>0.1646551724137931</v>
      </c>
      <c r="K6889" s="26" t="str">
        <f>VLOOKUP(Tabela1[[#This Row],[Cliente]],'BASE DE CLIENTES'!A:D,4,0)</f>
        <v>EMPRESA COM MAQUINA</v>
      </c>
      <c r="L6889" s="26" t="str">
        <f>VLOOKUP(Tabela1[[#This Row],[Cliente]],'BASE DE CLIENTES'!A:E,5,0)</f>
        <v>RIACHO FUNDO II</v>
      </c>
    </row>
    <row r="6890" spans="2:12" x14ac:dyDescent="0.3">
      <c r="B6890" t="s">
        <v>260</v>
      </c>
      <c r="C6890" s="26" t="str">
        <f>VLOOKUP(Tabela1[[#This Row],[Cliente]],'BASE DE CLIENTES'!A:E,2,0)</f>
        <v>Luziânia</v>
      </c>
      <c r="D6890" s="26" t="str">
        <f>VLOOKUP(Tabela1[[#This Row],[Cliente]],'BASE DE CLIENTES'!A:C,3,0)</f>
        <v>GO</v>
      </c>
      <c r="E6890" s="26" t="str">
        <f>CONCATENATE(Tabela1[[#This Row],[CIDADE]],",",Tabela1[[#This Row],[UF]])</f>
        <v>Luziânia,GO</v>
      </c>
      <c r="F6890" s="12">
        <v>46218</v>
      </c>
      <c r="G6890" s="14">
        <v>54.43</v>
      </c>
      <c r="H6890" s="13">
        <v>59</v>
      </c>
      <c r="I6890" s="7">
        <f>Tabela1[[#This Row],[Valor total]]-Tabela1[[#This Row],[Valor custo]]</f>
        <v>4.57</v>
      </c>
      <c r="J6890" s="27">
        <f>Tabela1[[#This Row],[MARGEM BRUTA]]/Tabela1[[#This Row],[Valor total]]</f>
        <v>7.7457627118644068E-2</v>
      </c>
      <c r="K6890" s="26" t="str">
        <f>VLOOKUP(Tabela1[[#This Row],[Cliente]],'BASE DE CLIENTES'!A:D,4,0)</f>
        <v>SERRALHEIRO</v>
      </c>
      <c r="L6890" s="26" t="str">
        <f>VLOOKUP(Tabela1[[#This Row],[Cliente]],'BASE DE CLIENTES'!A:E,5,0)</f>
        <v>Luziânia</v>
      </c>
    </row>
    <row r="6891" spans="2:12" x14ac:dyDescent="0.3">
      <c r="B6891" t="s">
        <v>1205</v>
      </c>
      <c r="C6891" s="26" t="str">
        <f>VLOOKUP(Tabela1[[#This Row],[Cliente]],'BASE DE CLIENTES'!A:E,2,0)</f>
        <v>São Paulo</v>
      </c>
      <c r="D6891" s="26" t="str">
        <f>VLOOKUP(Tabela1[[#This Row],[Cliente]],'BASE DE CLIENTES'!A:C,3,0)</f>
        <v>SP</v>
      </c>
      <c r="E6891" s="26" t="str">
        <f>CONCATENATE(Tabela1[[#This Row],[CIDADE]],",",Tabela1[[#This Row],[UF]])</f>
        <v>São Paulo,SP</v>
      </c>
      <c r="F6891" s="12">
        <v>46218</v>
      </c>
      <c r="G6891" s="14">
        <v>15167.78</v>
      </c>
      <c r="H6891" s="13">
        <v>24850</v>
      </c>
      <c r="I6891" s="7">
        <f>Tabela1[[#This Row],[Valor total]]-Tabela1[[#This Row],[Valor custo]]</f>
        <v>9682.2199999999993</v>
      </c>
      <c r="J6891" s="27">
        <f>Tabela1[[#This Row],[MARGEM BRUTA]]/Tabela1[[#This Row],[Valor total]]</f>
        <v>0.38962655935613677</v>
      </c>
      <c r="K6891" s="26" t="str">
        <f>VLOOKUP(Tabela1[[#This Row],[Cliente]],'BASE DE CLIENTES'!A:D,4,0)</f>
        <v>CLIENTE NOVO S/ IDENT.</v>
      </c>
      <c r="L6891" s="26" t="str">
        <f>VLOOKUP(Tabela1[[#This Row],[Cliente]],'BASE DE CLIENTES'!A:E,5,0)</f>
        <v>São Paulo</v>
      </c>
    </row>
    <row r="6892" spans="2:12" x14ac:dyDescent="0.3">
      <c r="B6892" t="s">
        <v>1223</v>
      </c>
      <c r="C6892" s="26" t="str">
        <f>VLOOKUP(Tabela1[[#This Row],[Cliente]],'BASE DE CLIENTES'!A:E,2,0)</f>
        <v>MERCADO LIVRE</v>
      </c>
      <c r="D6892" s="26" t="str">
        <f>VLOOKUP(Tabela1[[#This Row],[Cliente]],'BASE DE CLIENTES'!A:C,3,0)</f>
        <v>MERCADO LIVRE</v>
      </c>
      <c r="E6892" s="26" t="str">
        <f>CONCATENATE(Tabela1[[#This Row],[CIDADE]],",",Tabela1[[#This Row],[UF]])</f>
        <v>MERCADO LIVRE,MERCADO LIVRE</v>
      </c>
      <c r="F6892" s="12">
        <v>46218</v>
      </c>
      <c r="G6892" s="14">
        <v>56.28</v>
      </c>
      <c r="H6892" s="13">
        <v>192.81</v>
      </c>
      <c r="I6892" s="7">
        <f>Tabela1[[#This Row],[Valor total]]-Tabela1[[#This Row],[Valor custo]]</f>
        <v>136.53</v>
      </c>
      <c r="J6892" s="27">
        <f>Tabela1[[#This Row],[MARGEM BRUTA]]/Tabela1[[#This Row],[Valor total]]</f>
        <v>0.7081064260152482</v>
      </c>
      <c r="K6892" s="26" t="str">
        <f>VLOOKUP(Tabela1[[#This Row],[Cliente]],'BASE DE CLIENTES'!A:D,4,0)</f>
        <v>OUTROS RAMOS</v>
      </c>
      <c r="L6892" s="26" t="str">
        <f>VLOOKUP(Tabela1[[#This Row],[Cliente]],'BASE DE CLIENTES'!A:E,5,0)</f>
        <v>MERCADO LIVRE</v>
      </c>
    </row>
    <row r="6893" spans="2:12" x14ac:dyDescent="0.3">
      <c r="B6893" t="s">
        <v>1223</v>
      </c>
      <c r="C6893" s="26" t="str">
        <f>VLOOKUP(Tabela1[[#This Row],[Cliente]],'BASE DE CLIENTES'!A:E,2,0)</f>
        <v>MERCADO LIVRE</v>
      </c>
      <c r="D6893" s="26" t="str">
        <f>VLOOKUP(Tabela1[[#This Row],[Cliente]],'BASE DE CLIENTES'!A:C,3,0)</f>
        <v>MERCADO LIVRE</v>
      </c>
      <c r="E6893" s="26" t="str">
        <f>CONCATENATE(Tabela1[[#This Row],[CIDADE]],",",Tabela1[[#This Row],[UF]])</f>
        <v>MERCADO LIVRE,MERCADO LIVRE</v>
      </c>
      <c r="F6893" s="12">
        <v>46218</v>
      </c>
      <c r="G6893" s="14">
        <v>96</v>
      </c>
      <c r="H6893" s="13">
        <v>169.32</v>
      </c>
      <c r="I6893" s="7">
        <f>Tabela1[[#This Row],[Valor total]]-Tabela1[[#This Row],[Valor custo]]</f>
        <v>73.319999999999993</v>
      </c>
      <c r="J6893" s="27">
        <f>Tabela1[[#This Row],[MARGEM BRUTA]]/Tabela1[[#This Row],[Valor total]]</f>
        <v>0.43302622253720763</v>
      </c>
      <c r="K6893" s="26" t="str">
        <f>VLOOKUP(Tabela1[[#This Row],[Cliente]],'BASE DE CLIENTES'!A:D,4,0)</f>
        <v>OUTROS RAMOS</v>
      </c>
      <c r="L6893" s="26" t="str">
        <f>VLOOKUP(Tabela1[[#This Row],[Cliente]],'BASE DE CLIENTES'!A:E,5,0)</f>
        <v>MERCADO LIVRE</v>
      </c>
    </row>
    <row r="6894" spans="2:12" x14ac:dyDescent="0.3">
      <c r="B6894" t="s">
        <v>343</v>
      </c>
      <c r="C6894" s="26" t="str">
        <f>VLOOKUP(Tabela1[[#This Row],[Cliente]],'BASE DE CLIENTES'!A:E,2,0)</f>
        <v>Brasília</v>
      </c>
      <c r="D6894" s="26" t="str">
        <f>VLOOKUP(Tabela1[[#This Row],[Cliente]],'BASE DE CLIENTES'!A:C,3,0)</f>
        <v>DF</v>
      </c>
      <c r="E6894" s="26" t="str">
        <f>CONCATENATE(Tabela1[[#This Row],[CIDADE]],",",Tabela1[[#This Row],[UF]])</f>
        <v>Brasília,DF</v>
      </c>
      <c r="F6894" s="12">
        <v>46218</v>
      </c>
      <c r="G6894" s="14">
        <v>84</v>
      </c>
      <c r="H6894" s="13">
        <v>140</v>
      </c>
      <c r="I6894" s="7">
        <f>Tabela1[[#This Row],[Valor total]]-Tabela1[[#This Row],[Valor custo]]</f>
        <v>56</v>
      </c>
      <c r="J6894" s="27">
        <f>Tabela1[[#This Row],[MARGEM BRUTA]]/Tabela1[[#This Row],[Valor total]]</f>
        <v>0.4</v>
      </c>
      <c r="K6894" s="26" t="str">
        <f>VLOOKUP(Tabela1[[#This Row],[Cliente]],'BASE DE CLIENTES'!A:D,4,0)</f>
        <v>CLIENTE NOVO S/ IDENT.</v>
      </c>
      <c r="L6894" s="26" t="str">
        <f>VLOOKUP(Tabela1[[#This Row],[Cliente]],'BASE DE CLIENTES'!A:E,5,0)</f>
        <v>Brasília</v>
      </c>
    </row>
    <row r="6895" spans="2:12" x14ac:dyDescent="0.3">
      <c r="B6895" t="s">
        <v>343</v>
      </c>
      <c r="C6895" s="26" t="str">
        <f>VLOOKUP(Tabela1[[#This Row],[Cliente]],'BASE DE CLIENTES'!A:E,2,0)</f>
        <v>Brasília</v>
      </c>
      <c r="D6895" s="26" t="str">
        <f>VLOOKUP(Tabela1[[#This Row],[Cliente]],'BASE DE CLIENTES'!A:C,3,0)</f>
        <v>DF</v>
      </c>
      <c r="E6895" s="26" t="str">
        <f>CONCATENATE(Tabela1[[#This Row],[CIDADE]],",",Tabela1[[#This Row],[UF]])</f>
        <v>Brasília,DF</v>
      </c>
      <c r="F6895" s="12">
        <v>46218</v>
      </c>
      <c r="G6895" s="14">
        <v>290</v>
      </c>
      <c r="H6895" s="13">
        <v>580</v>
      </c>
      <c r="I6895" s="7">
        <f>Tabela1[[#This Row],[Valor total]]-Tabela1[[#This Row],[Valor custo]]</f>
        <v>290</v>
      </c>
      <c r="J6895" s="27">
        <f>Tabela1[[#This Row],[MARGEM BRUTA]]/Tabela1[[#This Row],[Valor total]]</f>
        <v>0.5</v>
      </c>
      <c r="K6895" s="26" t="str">
        <f>VLOOKUP(Tabela1[[#This Row],[Cliente]],'BASE DE CLIENTES'!A:D,4,0)</f>
        <v>CLIENTE NOVO S/ IDENT.</v>
      </c>
      <c r="L6895" s="26" t="str">
        <f>VLOOKUP(Tabela1[[#This Row],[Cliente]],'BASE DE CLIENTES'!A:E,5,0)</f>
        <v>Brasília</v>
      </c>
    </row>
    <row r="6896" spans="2:12" x14ac:dyDescent="0.3">
      <c r="B6896" t="s">
        <v>187</v>
      </c>
      <c r="C6896" s="26" t="str">
        <f>VLOOKUP(Tabela1[[#This Row],[Cliente]],'BASE DE CLIENTES'!A:E,2,0)</f>
        <v>Brasília</v>
      </c>
      <c r="D6896" s="26" t="str">
        <f>VLOOKUP(Tabela1[[#This Row],[Cliente]],'BASE DE CLIENTES'!A:C,3,0)</f>
        <v>DF</v>
      </c>
      <c r="E6896" s="26" t="str">
        <f>CONCATENATE(Tabela1[[#This Row],[CIDADE]],",",Tabela1[[#This Row],[UF]])</f>
        <v>Brasília,DF</v>
      </c>
      <c r="F6896" s="12">
        <v>46218</v>
      </c>
      <c r="G6896" s="14">
        <v>1050</v>
      </c>
      <c r="H6896" s="13">
        <v>1800</v>
      </c>
      <c r="I6896" s="7">
        <f>Tabela1[[#This Row],[Valor total]]-Tabela1[[#This Row],[Valor custo]]</f>
        <v>750</v>
      </c>
      <c r="J6896" s="27">
        <f>Tabela1[[#This Row],[MARGEM BRUTA]]/Tabela1[[#This Row],[Valor total]]</f>
        <v>0.41666666666666669</v>
      </c>
      <c r="K6896" s="26" t="str">
        <f>VLOOKUP(Tabela1[[#This Row],[Cliente]],'BASE DE CLIENTES'!A:D,4,0)</f>
        <v>SERRALHEIRO</v>
      </c>
      <c r="L6896" s="26" t="str">
        <f>VLOOKUP(Tabela1[[#This Row],[Cliente]],'BASE DE CLIENTES'!A:E,5,0)</f>
        <v>CEILANDIA SUL (CEILANDIA)</v>
      </c>
    </row>
    <row r="6897" spans="2:12" x14ac:dyDescent="0.3">
      <c r="B6897" t="s">
        <v>255</v>
      </c>
      <c r="C6897" s="26" t="str">
        <f>VLOOKUP(Tabela1[[#This Row],[Cliente]],'BASE DE CLIENTES'!A:E,2,0)</f>
        <v>Brasília</v>
      </c>
      <c r="D6897" s="26" t="str">
        <f>VLOOKUP(Tabela1[[#This Row],[Cliente]],'BASE DE CLIENTES'!A:C,3,0)</f>
        <v>DF</v>
      </c>
      <c r="E6897" s="26" t="str">
        <f>CONCATENATE(Tabela1[[#This Row],[CIDADE]],",",Tabela1[[#This Row],[UF]])</f>
        <v>Brasília,DF</v>
      </c>
      <c r="F6897" s="12">
        <v>46218</v>
      </c>
      <c r="G6897" s="14">
        <v>3408</v>
      </c>
      <c r="H6897" s="13">
        <v>5250</v>
      </c>
      <c r="I6897" s="7">
        <f>Tabela1[[#This Row],[Valor total]]-Tabela1[[#This Row],[Valor custo]]</f>
        <v>1842</v>
      </c>
      <c r="J6897" s="27">
        <f>Tabela1[[#This Row],[MARGEM BRUTA]]/Tabela1[[#This Row],[Valor total]]</f>
        <v>0.35085714285714287</v>
      </c>
      <c r="K6897" s="26" t="str">
        <f>VLOOKUP(Tabela1[[#This Row],[Cliente]],'BASE DE CLIENTES'!A:D,4,0)</f>
        <v>EMPRESA COM MAQUINA</v>
      </c>
      <c r="L6897" s="26" t="str">
        <f>VLOOKUP(Tabela1[[#This Row],[Cliente]],'BASE DE CLIENTES'!A:E,5,0)</f>
        <v>ADE ÁGUAS CLARAS</v>
      </c>
    </row>
    <row r="6898" spans="2:12" x14ac:dyDescent="0.3">
      <c r="B6898" t="s">
        <v>66</v>
      </c>
      <c r="C6898" s="26" t="str">
        <f>VLOOKUP(Tabela1[[#This Row],[Cliente]],'BASE DE CLIENTES'!A:E,2,0)</f>
        <v>Águas Lindas de Goiás</v>
      </c>
      <c r="D6898" s="26" t="str">
        <f>VLOOKUP(Tabela1[[#This Row],[Cliente]],'BASE DE CLIENTES'!A:C,3,0)</f>
        <v>GO</v>
      </c>
      <c r="E6898" s="26" t="str">
        <f>CONCATENATE(Tabela1[[#This Row],[CIDADE]],",",Tabela1[[#This Row],[UF]])</f>
        <v>Águas Lindas de Goiás,GO</v>
      </c>
      <c r="F6898" s="12">
        <v>46218</v>
      </c>
      <c r="G6898" s="14">
        <v>546.79</v>
      </c>
      <c r="H6898" s="13">
        <v>870</v>
      </c>
      <c r="I6898" s="7">
        <f>Tabela1[[#This Row],[Valor total]]-Tabela1[[#This Row],[Valor custo]]</f>
        <v>323.21000000000004</v>
      </c>
      <c r="J6898" s="27">
        <f>Tabela1[[#This Row],[MARGEM BRUTA]]/Tabela1[[#This Row],[Valor total]]</f>
        <v>0.3715057471264368</v>
      </c>
      <c r="K6898" s="26" t="str">
        <f>VLOOKUP(Tabela1[[#This Row],[Cliente]],'BASE DE CLIENTES'!A:D,4,0)</f>
        <v>EMPRESA COM MAQUINA</v>
      </c>
      <c r="L6898" s="26" t="str">
        <f>VLOOKUP(Tabela1[[#This Row],[Cliente]],'BASE DE CLIENTES'!A:E,5,0)</f>
        <v>Águas Lindas de Goiás</v>
      </c>
    </row>
    <row r="6899" spans="2:12" x14ac:dyDescent="0.3">
      <c r="B6899" t="s">
        <v>42</v>
      </c>
      <c r="C6899" s="26" t="str">
        <f>VLOOKUP(Tabela1[[#This Row],[Cliente]],'BASE DE CLIENTES'!A:E,2,0)</f>
        <v>Brasília</v>
      </c>
      <c r="D6899" s="26" t="str">
        <f>VLOOKUP(Tabela1[[#This Row],[Cliente]],'BASE DE CLIENTES'!A:C,3,0)</f>
        <v>DF</v>
      </c>
      <c r="E6899" s="26" t="str">
        <f>CONCATENATE(Tabela1[[#This Row],[CIDADE]],",",Tabela1[[#This Row],[UF]])</f>
        <v>Brasília,DF</v>
      </c>
      <c r="F6899" s="12">
        <v>46218</v>
      </c>
      <c r="G6899" s="14">
        <v>838</v>
      </c>
      <c r="H6899" s="13">
        <v>1300</v>
      </c>
      <c r="I6899" s="7">
        <f>Tabela1[[#This Row],[Valor total]]-Tabela1[[#This Row],[Valor custo]]</f>
        <v>462</v>
      </c>
      <c r="J6899" s="27">
        <f>Tabela1[[#This Row],[MARGEM BRUTA]]/Tabela1[[#This Row],[Valor total]]</f>
        <v>0.35538461538461541</v>
      </c>
      <c r="K6899" s="26" t="str">
        <f>VLOOKUP(Tabela1[[#This Row],[Cliente]],'BASE DE CLIENTES'!A:D,4,0)</f>
        <v>EMPRESA SEM MAQUINA</v>
      </c>
      <c r="L6899" s="26" t="str">
        <f>VLOOKUP(Tabela1[[#This Row],[Cliente]],'BASE DE CLIENTES'!A:E,5,0)</f>
        <v>SAMAMBAIA</v>
      </c>
    </row>
    <row r="6900" spans="2:12" x14ac:dyDescent="0.3">
      <c r="B6900" t="s">
        <v>195</v>
      </c>
      <c r="C6900" s="26" t="str">
        <f>VLOOKUP(Tabela1[[#This Row],[Cliente]],'BASE DE CLIENTES'!A:E,2,0)</f>
        <v>Goiânia</v>
      </c>
      <c r="D6900" s="26" t="str">
        <f>VLOOKUP(Tabela1[[#This Row],[Cliente]],'BASE DE CLIENTES'!A:C,3,0)</f>
        <v>GO</v>
      </c>
      <c r="E6900" s="26" t="str">
        <f>CONCATENATE(Tabela1[[#This Row],[CIDADE]],",",Tabela1[[#This Row],[UF]])</f>
        <v>Goiânia,GO</v>
      </c>
      <c r="F6900" s="12">
        <v>46218</v>
      </c>
      <c r="G6900" s="14">
        <v>5000</v>
      </c>
      <c r="H6900" s="13">
        <v>6500</v>
      </c>
      <c r="I6900" s="7">
        <f>Tabela1[[#This Row],[Valor total]]-Tabela1[[#This Row],[Valor custo]]</f>
        <v>1500</v>
      </c>
      <c r="J6900" s="27">
        <f>Tabela1[[#This Row],[MARGEM BRUTA]]/Tabela1[[#This Row],[Valor total]]</f>
        <v>0.23076923076923078</v>
      </c>
      <c r="K6900" s="26" t="str">
        <f>VLOOKUP(Tabela1[[#This Row],[Cliente]],'BASE DE CLIENTES'!A:D,4,0)</f>
        <v>EMPRESA COM MAQUINA</v>
      </c>
      <c r="L6900" s="26" t="str">
        <f>VLOOKUP(Tabela1[[#This Row],[Cliente]],'BASE DE CLIENTES'!A:E,5,0)</f>
        <v>Goiânia</v>
      </c>
    </row>
    <row r="6901" spans="2:12" x14ac:dyDescent="0.3">
      <c r="B6901" t="s">
        <v>1308</v>
      </c>
      <c r="C6901" s="26" t="str">
        <f>VLOOKUP(Tabela1[[#This Row],[Cliente]],'BASE DE CLIENTES'!A:E,2,0)</f>
        <v>Brasília</v>
      </c>
      <c r="D6901" s="26" t="str">
        <f>VLOOKUP(Tabela1[[#This Row],[Cliente]],'BASE DE CLIENTES'!A:C,3,0)</f>
        <v>DF</v>
      </c>
      <c r="E6901" s="26" t="str">
        <f>CONCATENATE(Tabela1[[#This Row],[CIDADE]],",",Tabela1[[#This Row],[UF]])</f>
        <v>Brasília,DF</v>
      </c>
      <c r="F6901" s="12">
        <v>46217</v>
      </c>
      <c r="G6901" s="14">
        <v>25</v>
      </c>
      <c r="H6901" s="13">
        <v>220</v>
      </c>
      <c r="I6901" s="7">
        <f>Tabela1[[#This Row],[Valor total]]-Tabela1[[#This Row],[Valor custo]]</f>
        <v>195</v>
      </c>
      <c r="J6901" s="27">
        <f>Tabela1[[#This Row],[MARGEM BRUTA]]/Tabela1[[#This Row],[Valor total]]</f>
        <v>0.88636363636363635</v>
      </c>
      <c r="K6901" s="26" t="str">
        <f>VLOOKUP(Tabela1[[#This Row],[Cliente]],'BASE DE CLIENTES'!A:D,4,0)</f>
        <v>CLIENTE NOVO S/ IDENT.</v>
      </c>
      <c r="L6901" s="26" t="str">
        <f>VLOOKUP(Tabela1[[#This Row],[Cliente]],'BASE DE CLIENTES'!A:E,5,0)</f>
        <v>S IA</v>
      </c>
    </row>
    <row r="6902" spans="2:12" x14ac:dyDescent="0.3">
      <c r="B6902" t="s">
        <v>222</v>
      </c>
      <c r="C6902" s="26" t="str">
        <f>VLOOKUP(Tabela1[[#This Row],[Cliente]],'BASE DE CLIENTES'!A:E,2,0)</f>
        <v>Goiânia</v>
      </c>
      <c r="D6902" s="26" t="str">
        <f>VLOOKUP(Tabela1[[#This Row],[Cliente]],'BASE DE CLIENTES'!A:C,3,0)</f>
        <v>GO</v>
      </c>
      <c r="E6902" s="26" t="str">
        <f>CONCATENATE(Tabela1[[#This Row],[CIDADE]],",",Tabela1[[#This Row],[UF]])</f>
        <v>Goiânia,GO</v>
      </c>
      <c r="F6902" s="12">
        <v>46217</v>
      </c>
      <c r="G6902" s="14">
        <v>9723.7999999999993</v>
      </c>
      <c r="H6902" s="13">
        <v>12800</v>
      </c>
      <c r="I6902" s="7">
        <f>Tabela1[[#This Row],[Valor total]]-Tabela1[[#This Row],[Valor custo]]</f>
        <v>3076.2000000000007</v>
      </c>
      <c r="J6902" s="27">
        <f>Tabela1[[#This Row],[MARGEM BRUTA]]/Tabela1[[#This Row],[Valor total]]</f>
        <v>0.24032812500000006</v>
      </c>
      <c r="K6902" s="26" t="str">
        <f>VLOOKUP(Tabela1[[#This Row],[Cliente]],'BASE DE CLIENTES'!A:D,4,0)</f>
        <v>EMPRESA COM MAQUINA</v>
      </c>
      <c r="L6902" s="26" t="str">
        <f>VLOOKUP(Tabela1[[#This Row],[Cliente]],'BASE DE CLIENTES'!A:E,5,0)</f>
        <v>Goiânia</v>
      </c>
    </row>
    <row r="6903" spans="2:12" x14ac:dyDescent="0.3">
      <c r="B6903" t="s">
        <v>1223</v>
      </c>
      <c r="C6903" s="26" t="str">
        <f>VLOOKUP(Tabela1[[#This Row],[Cliente]],'BASE DE CLIENTES'!A:E,2,0)</f>
        <v>MERCADO LIVRE</v>
      </c>
      <c r="D6903" s="26" t="str">
        <f>VLOOKUP(Tabela1[[#This Row],[Cliente]],'BASE DE CLIENTES'!A:C,3,0)</f>
        <v>MERCADO LIVRE</v>
      </c>
      <c r="E6903" s="26" t="str">
        <f>CONCATENATE(Tabela1[[#This Row],[CIDADE]],",",Tabela1[[#This Row],[UF]])</f>
        <v>MERCADO LIVRE,MERCADO LIVRE</v>
      </c>
      <c r="F6903" s="12">
        <v>46217</v>
      </c>
      <c r="G6903" s="14">
        <v>89.84</v>
      </c>
      <c r="H6903" s="13">
        <v>227.79</v>
      </c>
      <c r="I6903" s="7">
        <f>Tabela1[[#This Row],[Valor total]]-Tabela1[[#This Row],[Valor custo]]</f>
        <v>137.94999999999999</v>
      </c>
      <c r="J6903" s="27">
        <f>Tabela1[[#This Row],[MARGEM BRUTA]]/Tabela1[[#This Row],[Valor total]]</f>
        <v>0.6056016506431362</v>
      </c>
      <c r="K6903" s="26" t="str">
        <f>VLOOKUP(Tabela1[[#This Row],[Cliente]],'BASE DE CLIENTES'!A:D,4,0)</f>
        <v>OUTROS RAMOS</v>
      </c>
      <c r="L6903" s="26" t="str">
        <f>VLOOKUP(Tabela1[[#This Row],[Cliente]],'BASE DE CLIENTES'!A:E,5,0)</f>
        <v>MERCADO LIVRE</v>
      </c>
    </row>
    <row r="6904" spans="2:12" x14ac:dyDescent="0.3">
      <c r="B6904" t="s">
        <v>23</v>
      </c>
      <c r="C6904" s="26" t="str">
        <f>VLOOKUP(Tabela1[[#This Row],[Cliente]],'BASE DE CLIENTES'!A:E,2,0)</f>
        <v>Brasília</v>
      </c>
      <c r="D6904" s="26" t="str">
        <f>VLOOKUP(Tabela1[[#This Row],[Cliente]],'BASE DE CLIENTES'!A:C,3,0)</f>
        <v>DF</v>
      </c>
      <c r="E6904" s="26" t="str">
        <f>CONCATENATE(Tabela1[[#This Row],[CIDADE]],",",Tabela1[[#This Row],[UF]])</f>
        <v>Brasília,DF</v>
      </c>
      <c r="F6904" s="12">
        <v>46217</v>
      </c>
      <c r="G6904" s="14">
        <v>760</v>
      </c>
      <c r="H6904" s="13">
        <v>1133</v>
      </c>
      <c r="I6904" s="7">
        <f>Tabela1[[#This Row],[Valor total]]-Tabela1[[#This Row],[Valor custo]]</f>
        <v>373</v>
      </c>
      <c r="J6904" s="27">
        <f>Tabela1[[#This Row],[MARGEM BRUTA]]/Tabela1[[#This Row],[Valor total]]</f>
        <v>0.32921447484554278</v>
      </c>
      <c r="K6904" s="26" t="str">
        <f>VLOOKUP(Tabela1[[#This Row],[Cliente]],'BASE DE CLIENTES'!A:D,4,0)</f>
        <v>EMPRESA SEM MAQUINA</v>
      </c>
      <c r="L6904" s="26" t="str">
        <f>VLOOKUP(Tabela1[[#This Row],[Cliente]],'BASE DE CLIENTES'!A:E,5,0)</f>
        <v>SETOR INDUSTRIAL (TAGUATINGA)</v>
      </c>
    </row>
    <row r="6905" spans="2:12" x14ac:dyDescent="0.3">
      <c r="B6905" t="s">
        <v>68</v>
      </c>
      <c r="C6905" s="26" t="str">
        <f>VLOOKUP(Tabela1[[#This Row],[Cliente]],'BASE DE CLIENTES'!A:E,2,0)</f>
        <v>Brasília</v>
      </c>
      <c r="D6905" s="26" t="str">
        <f>VLOOKUP(Tabela1[[#This Row],[Cliente]],'BASE DE CLIENTES'!A:C,3,0)</f>
        <v>DF</v>
      </c>
      <c r="E6905" s="26" t="str">
        <f>CONCATENATE(Tabela1[[#This Row],[CIDADE]],",",Tabela1[[#This Row],[UF]])</f>
        <v>Brasília,DF</v>
      </c>
      <c r="F6905" s="12">
        <v>46217</v>
      </c>
      <c r="G6905" s="14">
        <v>567.19000000000005</v>
      </c>
      <c r="H6905" s="13">
        <v>831</v>
      </c>
      <c r="I6905" s="7">
        <f>Tabela1[[#This Row],[Valor total]]-Tabela1[[#This Row],[Valor custo]]</f>
        <v>263.80999999999995</v>
      </c>
      <c r="J6905" s="27">
        <f>Tabela1[[#This Row],[MARGEM BRUTA]]/Tabela1[[#This Row],[Valor total]]</f>
        <v>0.31746089049338139</v>
      </c>
      <c r="K6905" s="26" t="str">
        <f>VLOOKUP(Tabela1[[#This Row],[Cliente]],'BASE DE CLIENTES'!A:D,4,0)</f>
        <v>EMPRESA COM MAQUINA</v>
      </c>
      <c r="L6905" s="26" t="str">
        <f>VLOOKUP(Tabela1[[#This Row],[Cliente]],'BASE DE CLIENTES'!A:E,5,0)</f>
        <v>SAMAMBAIA SUL (SAMAMBAIA)</v>
      </c>
    </row>
    <row r="6906" spans="2:12" x14ac:dyDescent="0.3">
      <c r="B6906" t="s">
        <v>316</v>
      </c>
      <c r="C6906" s="26" t="str">
        <f>VLOOKUP(Tabela1[[#This Row],[Cliente]],'BASE DE CLIENTES'!A:E,2,0)</f>
        <v>Valparaíso de Goiás</v>
      </c>
      <c r="D6906" s="26" t="str">
        <f>VLOOKUP(Tabela1[[#This Row],[Cliente]],'BASE DE CLIENTES'!A:C,3,0)</f>
        <v>GO</v>
      </c>
      <c r="E6906" s="26" t="str">
        <f>CONCATENATE(Tabela1[[#This Row],[CIDADE]],",",Tabela1[[#This Row],[UF]])</f>
        <v>Valparaíso de Goiás,GO</v>
      </c>
      <c r="F6906" s="12">
        <v>46217</v>
      </c>
      <c r="G6906" s="14">
        <v>670</v>
      </c>
      <c r="H6906" s="13">
        <v>1200</v>
      </c>
      <c r="I6906" s="7">
        <f>Tabela1[[#This Row],[Valor total]]-Tabela1[[#This Row],[Valor custo]]</f>
        <v>530</v>
      </c>
      <c r="J6906" s="27">
        <f>Tabela1[[#This Row],[MARGEM BRUTA]]/Tabela1[[#This Row],[Valor total]]</f>
        <v>0.44166666666666665</v>
      </c>
      <c r="K6906" s="26" t="str">
        <f>VLOOKUP(Tabela1[[#This Row],[Cliente]],'BASE DE CLIENTES'!A:D,4,0)</f>
        <v>SERRALHEIRO</v>
      </c>
      <c r="L6906" s="26" t="str">
        <f>VLOOKUP(Tabela1[[#This Row],[Cliente]],'BASE DE CLIENTES'!A:E,5,0)</f>
        <v>Valparaíso de Goiás</v>
      </c>
    </row>
    <row r="6907" spans="2:12" x14ac:dyDescent="0.3">
      <c r="B6907" t="s">
        <v>111</v>
      </c>
      <c r="C6907" s="26" t="str">
        <f>VLOOKUP(Tabela1[[#This Row],[Cliente]],'BASE DE CLIENTES'!A:E,2,0)</f>
        <v>Brasília</v>
      </c>
      <c r="D6907" s="26" t="str">
        <f>VLOOKUP(Tabela1[[#This Row],[Cliente]],'BASE DE CLIENTES'!A:C,3,0)</f>
        <v>DF</v>
      </c>
      <c r="E6907" s="26" t="str">
        <f>CONCATENATE(Tabela1[[#This Row],[CIDADE]],",",Tabela1[[#This Row],[UF]])</f>
        <v>Brasília,DF</v>
      </c>
      <c r="F6907" s="12">
        <v>46217</v>
      </c>
      <c r="G6907" s="14">
        <v>670</v>
      </c>
      <c r="H6907" s="13">
        <v>1100</v>
      </c>
      <c r="I6907" s="7">
        <f>Tabela1[[#This Row],[Valor total]]-Tabela1[[#This Row],[Valor custo]]</f>
        <v>430</v>
      </c>
      <c r="J6907" s="27">
        <f>Tabela1[[#This Row],[MARGEM BRUTA]]/Tabela1[[#This Row],[Valor total]]</f>
        <v>0.39090909090909093</v>
      </c>
      <c r="K6907" s="26" t="str">
        <f>VLOOKUP(Tabela1[[#This Row],[Cliente]],'BASE DE CLIENTES'!A:D,4,0)</f>
        <v>EMPRESA SEM MAQUINA</v>
      </c>
      <c r="L6907" s="26" t="str">
        <f>VLOOKUP(Tabela1[[#This Row],[Cliente]],'BASE DE CLIENTES'!A:E,5,0)</f>
        <v>TAGUATINGA SUL (TAGUATINGA)</v>
      </c>
    </row>
    <row r="6908" spans="2:12" x14ac:dyDescent="0.3">
      <c r="B6908" t="s">
        <v>1309</v>
      </c>
      <c r="C6908" s="26" t="str">
        <f>VLOOKUP(Tabela1[[#This Row],[Cliente]],'BASE DE CLIENTES'!A:E,2,0)</f>
        <v>Brasília</v>
      </c>
      <c r="D6908" s="26" t="str">
        <f>VLOOKUP(Tabela1[[#This Row],[Cliente]],'BASE DE CLIENTES'!A:C,3,0)</f>
        <v>DF</v>
      </c>
      <c r="E6908" s="26" t="str">
        <f>CONCATENATE(Tabela1[[#This Row],[CIDADE]],",",Tabela1[[#This Row],[UF]])</f>
        <v>Brasília,DF</v>
      </c>
      <c r="F6908" s="12">
        <v>46217</v>
      </c>
      <c r="G6908" s="14">
        <v>93</v>
      </c>
      <c r="H6908" s="13">
        <v>150</v>
      </c>
      <c r="I6908" s="7">
        <f>Tabela1[[#This Row],[Valor total]]-Tabela1[[#This Row],[Valor custo]]</f>
        <v>57</v>
      </c>
      <c r="J6908" s="27">
        <f>Tabela1[[#This Row],[MARGEM BRUTA]]/Tabela1[[#This Row],[Valor total]]</f>
        <v>0.38</v>
      </c>
      <c r="K6908" s="26" t="str">
        <f>VLOOKUP(Tabela1[[#This Row],[Cliente]],'BASE DE CLIENTES'!A:D,4,0)</f>
        <v>CLIENTE NOVO S/ IDENT.</v>
      </c>
      <c r="L6908" s="26" t="str">
        <f>VLOOKUP(Tabela1[[#This Row],[Cliente]],'BASE DE CLIENTES'!A:E,5,0)</f>
        <v>RECANTO DAS EMAS</v>
      </c>
    </row>
    <row r="6909" spans="2:12" x14ac:dyDescent="0.3">
      <c r="B6909" t="s">
        <v>76</v>
      </c>
      <c r="C6909" s="26" t="str">
        <f>VLOOKUP(Tabela1[[#This Row],[Cliente]],'BASE DE CLIENTES'!A:E,2,0)</f>
        <v>Brasília</v>
      </c>
      <c r="D6909" s="26" t="str">
        <f>VLOOKUP(Tabela1[[#This Row],[Cliente]],'BASE DE CLIENTES'!A:C,3,0)</f>
        <v>DF</v>
      </c>
      <c r="E6909" s="26" t="str">
        <f>CONCATENATE(Tabela1[[#This Row],[CIDADE]],",",Tabela1[[#This Row],[UF]])</f>
        <v>Brasília,DF</v>
      </c>
      <c r="F6909" s="12">
        <v>46217</v>
      </c>
      <c r="G6909" s="14">
        <v>2280</v>
      </c>
      <c r="H6909" s="13">
        <v>3432</v>
      </c>
      <c r="I6909" s="7">
        <f>Tabela1[[#This Row],[Valor total]]-Tabela1[[#This Row],[Valor custo]]</f>
        <v>1152</v>
      </c>
      <c r="J6909" s="27">
        <f>Tabela1[[#This Row],[MARGEM BRUTA]]/Tabela1[[#This Row],[Valor total]]</f>
        <v>0.33566433566433568</v>
      </c>
      <c r="K6909" s="26" t="str">
        <f>VLOOKUP(Tabela1[[#This Row],[Cliente]],'BASE DE CLIENTES'!A:D,4,0)</f>
        <v>EMPRESA COM MAQUINA</v>
      </c>
      <c r="L6909" s="26" t="str">
        <f>VLOOKUP(Tabela1[[#This Row],[Cliente]],'BASE DE CLIENTES'!A:E,5,0)</f>
        <v>Setor Placa da Mercedes (Núcleo Bandeirante)</v>
      </c>
    </row>
    <row r="6910" spans="2:12" x14ac:dyDescent="0.3">
      <c r="B6910" t="s">
        <v>1310</v>
      </c>
      <c r="C6910" s="26" t="str">
        <f>VLOOKUP(Tabela1[[#This Row],[Cliente]],'BASE DE CLIENTES'!A:E,2,0)</f>
        <v>Brasília</v>
      </c>
      <c r="D6910" s="26" t="str">
        <f>VLOOKUP(Tabela1[[#This Row],[Cliente]],'BASE DE CLIENTES'!A:C,3,0)</f>
        <v>DF</v>
      </c>
      <c r="E6910" s="26" t="str">
        <f>CONCATENATE(Tabela1[[#This Row],[CIDADE]],",",Tabela1[[#This Row],[UF]])</f>
        <v>Brasília,DF</v>
      </c>
      <c r="F6910" s="12">
        <v>46217</v>
      </c>
      <c r="G6910" s="14">
        <v>1468.89</v>
      </c>
      <c r="H6910" s="13">
        <v>2100</v>
      </c>
      <c r="I6910" s="7">
        <f>Tabela1[[#This Row],[Valor total]]-Tabela1[[#This Row],[Valor custo]]</f>
        <v>631.1099999999999</v>
      </c>
      <c r="J6910" s="27">
        <f>Tabela1[[#This Row],[MARGEM BRUTA]]/Tabela1[[#This Row],[Valor total]]</f>
        <v>0.30052857142857137</v>
      </c>
      <c r="K6910" s="26" t="str">
        <f>VLOOKUP(Tabela1[[#This Row],[Cliente]],'BASE DE CLIENTES'!A:D,4,0)</f>
        <v>CLIENTE NOVO S/ IDENT.</v>
      </c>
      <c r="L6910" s="26" t="str">
        <f>VLOOKUP(Tabela1[[#This Row],[Cliente]],'BASE DE CLIENTES'!A:E,5,0)</f>
        <v>TAGUATINGA</v>
      </c>
    </row>
    <row r="6911" spans="2:12" x14ac:dyDescent="0.3">
      <c r="B6911" t="s">
        <v>20</v>
      </c>
      <c r="C6911" s="26" t="str">
        <f>VLOOKUP(Tabela1[[#This Row],[Cliente]],'BASE DE CLIENTES'!A:E,2,0)</f>
        <v>Brasília</v>
      </c>
      <c r="D6911" s="26" t="str">
        <f>VLOOKUP(Tabela1[[#This Row],[Cliente]],'BASE DE CLIENTES'!A:C,3,0)</f>
        <v>DF</v>
      </c>
      <c r="E6911" s="26" t="str">
        <f>CONCATENATE(Tabela1[[#This Row],[CIDADE]],",",Tabela1[[#This Row],[UF]])</f>
        <v>Brasília,DF</v>
      </c>
      <c r="F6911" s="12">
        <v>46217</v>
      </c>
      <c r="G6911" s="14">
        <v>191</v>
      </c>
      <c r="H6911" s="13">
        <v>600</v>
      </c>
      <c r="I6911" s="7">
        <f>Tabela1[[#This Row],[Valor total]]-Tabela1[[#This Row],[Valor custo]]</f>
        <v>409</v>
      </c>
      <c r="J6911" s="27">
        <f>Tabela1[[#This Row],[MARGEM BRUTA]]/Tabela1[[#This Row],[Valor total]]</f>
        <v>0.68166666666666664</v>
      </c>
      <c r="K6911" s="26" t="str">
        <f>VLOOKUP(Tabela1[[#This Row],[Cliente]],'BASE DE CLIENTES'!A:D,4,0)</f>
        <v>CHAVEIRO</v>
      </c>
      <c r="L6911" s="26" t="str">
        <f>VLOOKUP(Tabela1[[#This Row],[Cliente]],'BASE DE CLIENTES'!A:E,5,0)</f>
        <v>NA</v>
      </c>
    </row>
    <row r="6912" spans="2:12" x14ac:dyDescent="0.3">
      <c r="B6912" t="s">
        <v>30</v>
      </c>
      <c r="C6912" s="26" t="str">
        <f>VLOOKUP(Tabela1[[#This Row],[Cliente]],'BASE DE CLIENTES'!A:E,2,0)</f>
        <v>Águas Lindas de Goiás</v>
      </c>
      <c r="D6912" s="26" t="str">
        <f>VLOOKUP(Tabela1[[#This Row],[Cliente]],'BASE DE CLIENTES'!A:C,3,0)</f>
        <v>GO</v>
      </c>
      <c r="E6912" s="26" t="str">
        <f>CONCATENATE(Tabela1[[#This Row],[CIDADE]],",",Tabela1[[#This Row],[UF]])</f>
        <v>Águas Lindas de Goiás,GO</v>
      </c>
      <c r="F6912" s="12">
        <v>46217</v>
      </c>
      <c r="G6912" s="14">
        <v>500</v>
      </c>
      <c r="H6912" s="13">
        <v>720</v>
      </c>
      <c r="I6912" s="7">
        <f>Tabela1[[#This Row],[Valor total]]-Tabela1[[#This Row],[Valor custo]]</f>
        <v>220</v>
      </c>
      <c r="J6912" s="27">
        <f>Tabela1[[#This Row],[MARGEM BRUTA]]/Tabela1[[#This Row],[Valor total]]</f>
        <v>0.30555555555555558</v>
      </c>
      <c r="K6912" s="26" t="str">
        <f>VLOOKUP(Tabela1[[#This Row],[Cliente]],'BASE DE CLIENTES'!A:D,4,0)</f>
        <v>SERRALHEIRO</v>
      </c>
      <c r="L6912" s="26" t="str">
        <f>VLOOKUP(Tabela1[[#This Row],[Cliente]],'BASE DE CLIENTES'!A:E,5,0)</f>
        <v>Águas Lindas de Goiás</v>
      </c>
    </row>
    <row r="6913" spans="2:12" x14ac:dyDescent="0.3">
      <c r="B6913" t="s">
        <v>68</v>
      </c>
      <c r="C6913" s="26" t="str">
        <f>VLOOKUP(Tabela1[[#This Row],[Cliente]],'BASE DE CLIENTES'!A:E,2,0)</f>
        <v>Brasília</v>
      </c>
      <c r="D6913" s="26" t="str">
        <f>VLOOKUP(Tabela1[[#This Row],[Cliente]],'BASE DE CLIENTES'!A:C,3,0)</f>
        <v>DF</v>
      </c>
      <c r="E6913" s="26" t="str">
        <f>CONCATENATE(Tabela1[[#This Row],[CIDADE]],",",Tabela1[[#This Row],[UF]])</f>
        <v>Brasília,DF</v>
      </c>
      <c r="F6913" s="12">
        <v>46217</v>
      </c>
      <c r="G6913" s="14">
        <v>959.38</v>
      </c>
      <c r="H6913" s="13">
        <v>1432</v>
      </c>
      <c r="I6913" s="7">
        <f>Tabela1[[#This Row],[Valor total]]-Tabela1[[#This Row],[Valor custo]]</f>
        <v>472.62</v>
      </c>
      <c r="J6913" s="27">
        <f>Tabela1[[#This Row],[MARGEM BRUTA]]/Tabela1[[#This Row],[Valor total]]</f>
        <v>0.33004189944134077</v>
      </c>
      <c r="K6913" s="26" t="str">
        <f>VLOOKUP(Tabela1[[#This Row],[Cliente]],'BASE DE CLIENTES'!A:D,4,0)</f>
        <v>EMPRESA COM MAQUINA</v>
      </c>
      <c r="L6913" s="26" t="str">
        <f>VLOOKUP(Tabela1[[#This Row],[Cliente]],'BASE DE CLIENTES'!A:E,5,0)</f>
        <v>SAMAMBAIA SUL (SAMAMBAIA)</v>
      </c>
    </row>
    <row r="6914" spans="2:12" x14ac:dyDescent="0.3">
      <c r="B6914" t="s">
        <v>183</v>
      </c>
      <c r="C6914" s="26" t="str">
        <f>VLOOKUP(Tabela1[[#This Row],[Cliente]],'BASE DE CLIENTES'!A:E,2,0)</f>
        <v>Caldas Novas</v>
      </c>
      <c r="D6914" s="26" t="str">
        <f>VLOOKUP(Tabela1[[#This Row],[Cliente]],'BASE DE CLIENTES'!A:C,3,0)</f>
        <v>GO</v>
      </c>
      <c r="E6914" s="26" t="str">
        <f>CONCATENATE(Tabela1[[#This Row],[CIDADE]],",",Tabela1[[#This Row],[UF]])</f>
        <v>Caldas Novas,GO</v>
      </c>
      <c r="F6914" s="12">
        <v>46217</v>
      </c>
      <c r="G6914" s="14">
        <v>3591.38</v>
      </c>
      <c r="H6914" s="13">
        <v>5864</v>
      </c>
      <c r="I6914" s="7">
        <f>Tabela1[[#This Row],[Valor total]]-Tabela1[[#This Row],[Valor custo]]</f>
        <v>2272.62</v>
      </c>
      <c r="J6914" s="27">
        <f>Tabela1[[#This Row],[MARGEM BRUTA]]/Tabela1[[#This Row],[Valor total]]</f>
        <v>0.3875545702592087</v>
      </c>
      <c r="K6914" s="26" t="str">
        <f>VLOOKUP(Tabela1[[#This Row],[Cliente]],'BASE DE CLIENTES'!A:D,4,0)</f>
        <v>EMPRESA COM MAQUINA</v>
      </c>
      <c r="L6914" s="26" t="str">
        <f>VLOOKUP(Tabela1[[#This Row],[Cliente]],'BASE DE CLIENTES'!A:E,5,0)</f>
        <v>Caldas Novas</v>
      </c>
    </row>
    <row r="6915" spans="2:12" x14ac:dyDescent="0.3">
      <c r="B6915" t="s">
        <v>197</v>
      </c>
      <c r="C6915" s="26" t="str">
        <f>VLOOKUP(Tabela1[[#This Row],[Cliente]],'BASE DE CLIENTES'!A:E,2,0)</f>
        <v>Goiânia</v>
      </c>
      <c r="D6915" s="26" t="str">
        <f>VLOOKUP(Tabela1[[#This Row],[Cliente]],'BASE DE CLIENTES'!A:C,3,0)</f>
        <v>GO</v>
      </c>
      <c r="E6915" s="26" t="str">
        <f>CONCATENATE(Tabela1[[#This Row],[CIDADE]],",",Tabela1[[#This Row],[UF]])</f>
        <v>Goiânia,GO</v>
      </c>
      <c r="F6915" s="12">
        <v>46217</v>
      </c>
      <c r="G6915" s="14">
        <v>2229.0700000000002</v>
      </c>
      <c r="H6915" s="13">
        <v>3550</v>
      </c>
      <c r="I6915" s="7">
        <f>Tabela1[[#This Row],[Valor total]]-Tabela1[[#This Row],[Valor custo]]</f>
        <v>1320.9299999999998</v>
      </c>
      <c r="J6915" s="27">
        <f>Tabela1[[#This Row],[MARGEM BRUTA]]/Tabela1[[#This Row],[Valor total]]</f>
        <v>0.37209295774647883</v>
      </c>
      <c r="K6915" s="26" t="str">
        <f>VLOOKUP(Tabela1[[#This Row],[Cliente]],'BASE DE CLIENTES'!A:D,4,0)</f>
        <v>EMPRESA COM MAQUINA</v>
      </c>
      <c r="L6915" s="26" t="str">
        <f>VLOOKUP(Tabela1[[#This Row],[Cliente]],'BASE DE CLIENTES'!A:E,5,0)</f>
        <v>Goiânia</v>
      </c>
    </row>
    <row r="6916" spans="2:12" x14ac:dyDescent="0.3">
      <c r="B6916" t="s">
        <v>1223</v>
      </c>
      <c r="C6916" s="26" t="str">
        <f>VLOOKUP(Tabela1[[#This Row],[Cliente]],'BASE DE CLIENTES'!A:E,2,0)</f>
        <v>MERCADO LIVRE</v>
      </c>
      <c r="D6916" s="26" t="str">
        <f>VLOOKUP(Tabela1[[#This Row],[Cliente]],'BASE DE CLIENTES'!A:C,3,0)</f>
        <v>MERCADO LIVRE</v>
      </c>
      <c r="E6916" s="26" t="str">
        <f>CONCATENATE(Tabela1[[#This Row],[CIDADE]],",",Tabela1[[#This Row],[UF]])</f>
        <v>MERCADO LIVRE,MERCADO LIVRE</v>
      </c>
      <c r="F6916" s="12">
        <v>46217</v>
      </c>
      <c r="G6916" s="14">
        <v>0</v>
      </c>
      <c r="H6916" s="13">
        <v>37.880000000000003</v>
      </c>
      <c r="I6916" s="7">
        <f>Tabela1[[#This Row],[Valor total]]-Tabela1[[#This Row],[Valor custo]]</f>
        <v>37.880000000000003</v>
      </c>
      <c r="J6916" s="27">
        <f>Tabela1[[#This Row],[MARGEM BRUTA]]/Tabela1[[#This Row],[Valor total]]</f>
        <v>1</v>
      </c>
      <c r="K6916" s="26" t="str">
        <f>VLOOKUP(Tabela1[[#This Row],[Cliente]],'BASE DE CLIENTES'!A:D,4,0)</f>
        <v>OUTROS RAMOS</v>
      </c>
      <c r="L6916" s="26" t="str">
        <f>VLOOKUP(Tabela1[[#This Row],[Cliente]],'BASE DE CLIENTES'!A:E,5,0)</f>
        <v>MERCADO LIVRE</v>
      </c>
    </row>
    <row r="6917" spans="2:12" x14ac:dyDescent="0.3">
      <c r="B6917" t="s">
        <v>1311</v>
      </c>
      <c r="C6917" s="26" t="str">
        <f>VLOOKUP(Tabela1[[#This Row],[Cliente]],'BASE DE CLIENTES'!A:E,2,0)</f>
        <v>Brasília</v>
      </c>
      <c r="D6917" s="26" t="str">
        <f>VLOOKUP(Tabela1[[#This Row],[Cliente]],'BASE DE CLIENTES'!A:C,3,0)</f>
        <v>DF</v>
      </c>
      <c r="E6917" s="26" t="str">
        <f>CONCATENATE(Tabela1[[#This Row],[CIDADE]],",",Tabela1[[#This Row],[UF]])</f>
        <v>Brasília,DF</v>
      </c>
      <c r="F6917" s="12">
        <v>46217</v>
      </c>
      <c r="G6917" s="14">
        <v>486.18</v>
      </c>
      <c r="H6917" s="13">
        <v>950</v>
      </c>
      <c r="I6917" s="7">
        <f>Tabela1[[#This Row],[Valor total]]-Tabela1[[#This Row],[Valor custo]]</f>
        <v>463.82</v>
      </c>
      <c r="J6917" s="27">
        <f>Tabela1[[#This Row],[MARGEM BRUTA]]/Tabela1[[#This Row],[Valor total]]</f>
        <v>0.48823157894736841</v>
      </c>
      <c r="K6917" s="26" t="str">
        <f>VLOOKUP(Tabela1[[#This Row],[Cliente]],'BASE DE CLIENTES'!A:D,4,0)</f>
        <v>CLIENTE NOVO S/ IDENT.</v>
      </c>
      <c r="L6917" s="26" t="str">
        <f>VLOOKUP(Tabela1[[#This Row],[Cliente]],'BASE DE CLIENTES'!A:E,5,0)</f>
        <v>GAMA</v>
      </c>
    </row>
    <row r="6918" spans="2:12" x14ac:dyDescent="0.3">
      <c r="B6918" t="s">
        <v>236</v>
      </c>
      <c r="C6918" s="26" t="str">
        <f>VLOOKUP(Tabela1[[#This Row],[Cliente]],'BASE DE CLIENTES'!A:E,2,0)</f>
        <v>Goiânia</v>
      </c>
      <c r="D6918" s="26" t="str">
        <f>VLOOKUP(Tabela1[[#This Row],[Cliente]],'BASE DE CLIENTES'!A:C,3,0)</f>
        <v>GO</v>
      </c>
      <c r="E6918" s="26" t="str">
        <f>CONCATENATE(Tabela1[[#This Row],[CIDADE]],",",Tabela1[[#This Row],[UF]])</f>
        <v>Goiânia,GO</v>
      </c>
      <c r="F6918" s="12">
        <v>46217</v>
      </c>
      <c r="G6918" s="14">
        <v>27619.61</v>
      </c>
      <c r="H6918" s="13">
        <v>40185</v>
      </c>
      <c r="I6918" s="7">
        <f>Tabela1[[#This Row],[Valor total]]-Tabela1[[#This Row],[Valor custo]]</f>
        <v>12565.39</v>
      </c>
      <c r="J6918" s="27">
        <f>Tabela1[[#This Row],[MARGEM BRUTA]]/Tabela1[[#This Row],[Valor total]]</f>
        <v>0.31268856538509393</v>
      </c>
      <c r="K6918" s="26" t="str">
        <f>VLOOKUP(Tabela1[[#This Row],[Cliente]],'BASE DE CLIENTES'!A:D,4,0)</f>
        <v>EMPRESA COM MAQUINA</v>
      </c>
      <c r="L6918" s="26" t="str">
        <f>VLOOKUP(Tabela1[[#This Row],[Cliente]],'BASE DE CLIENTES'!A:E,5,0)</f>
        <v>Goiânia</v>
      </c>
    </row>
    <row r="6919" spans="2:12" x14ac:dyDescent="0.3">
      <c r="B6919" t="s">
        <v>23</v>
      </c>
      <c r="C6919" s="26" t="str">
        <f>VLOOKUP(Tabela1[[#This Row],[Cliente]],'BASE DE CLIENTES'!A:E,2,0)</f>
        <v>Brasília</v>
      </c>
      <c r="D6919" s="26" t="str">
        <f>VLOOKUP(Tabela1[[#This Row],[Cliente]],'BASE DE CLIENTES'!A:C,3,0)</f>
        <v>DF</v>
      </c>
      <c r="E6919" s="26" t="str">
        <f>CONCATENATE(Tabela1[[#This Row],[CIDADE]],",",Tabela1[[#This Row],[UF]])</f>
        <v>Brasília,DF</v>
      </c>
      <c r="F6919" s="12">
        <v>46217</v>
      </c>
      <c r="G6919" s="14">
        <v>422</v>
      </c>
      <c r="H6919" s="13">
        <v>620</v>
      </c>
      <c r="I6919" s="7">
        <f>Tabela1[[#This Row],[Valor total]]-Tabela1[[#This Row],[Valor custo]]</f>
        <v>198</v>
      </c>
      <c r="J6919" s="27">
        <f>Tabela1[[#This Row],[MARGEM BRUTA]]/Tabela1[[#This Row],[Valor total]]</f>
        <v>0.3193548387096774</v>
      </c>
      <c r="K6919" s="26" t="str">
        <f>VLOOKUP(Tabela1[[#This Row],[Cliente]],'BASE DE CLIENTES'!A:D,4,0)</f>
        <v>EMPRESA SEM MAQUINA</v>
      </c>
      <c r="L6919" s="26" t="str">
        <f>VLOOKUP(Tabela1[[#This Row],[Cliente]],'BASE DE CLIENTES'!A:E,5,0)</f>
        <v>SETOR INDUSTRIAL (TAGUATINGA)</v>
      </c>
    </row>
    <row r="6920" spans="2:12" x14ac:dyDescent="0.3">
      <c r="B6920" t="s">
        <v>138</v>
      </c>
      <c r="C6920" s="26" t="str">
        <f>VLOOKUP(Tabela1[[#This Row],[Cliente]],'BASE DE CLIENTES'!A:E,2,0)</f>
        <v>Brasília</v>
      </c>
      <c r="D6920" s="26" t="str">
        <f>VLOOKUP(Tabela1[[#This Row],[Cliente]],'BASE DE CLIENTES'!A:C,3,0)</f>
        <v>DF</v>
      </c>
      <c r="E6920" s="26" t="str">
        <f>CONCATENATE(Tabela1[[#This Row],[CIDADE]],",",Tabela1[[#This Row],[UF]])</f>
        <v>Brasília,DF</v>
      </c>
      <c r="F6920" s="12">
        <v>46217</v>
      </c>
      <c r="G6920" s="14">
        <v>380</v>
      </c>
      <c r="H6920" s="13">
        <v>750</v>
      </c>
      <c r="I6920" s="7">
        <f>Tabela1[[#This Row],[Valor total]]-Tabela1[[#This Row],[Valor custo]]</f>
        <v>370</v>
      </c>
      <c r="J6920" s="27">
        <f>Tabela1[[#This Row],[MARGEM BRUTA]]/Tabela1[[#This Row],[Valor total]]</f>
        <v>0.49333333333333335</v>
      </c>
      <c r="K6920" s="26" t="str">
        <f>VLOOKUP(Tabela1[[#This Row],[Cliente]],'BASE DE CLIENTES'!A:D,4,0)</f>
        <v>OUTROS RAMOS</v>
      </c>
      <c r="L6920" s="26" t="str">
        <f>VLOOKUP(Tabela1[[#This Row],[Cliente]],'BASE DE CLIENTES'!A:E,5,0)</f>
        <v>CEILANDIA NORTE (CEILANDIA)</v>
      </c>
    </row>
    <row r="6921" spans="2:12" x14ac:dyDescent="0.3">
      <c r="B6921" t="s">
        <v>1223</v>
      </c>
      <c r="C6921" s="26" t="str">
        <f>VLOOKUP(Tabela1[[#This Row],[Cliente]],'BASE DE CLIENTES'!A:E,2,0)</f>
        <v>MERCADO LIVRE</v>
      </c>
      <c r="D6921" s="26" t="str">
        <f>VLOOKUP(Tabela1[[#This Row],[Cliente]],'BASE DE CLIENTES'!A:C,3,0)</f>
        <v>MERCADO LIVRE</v>
      </c>
      <c r="E6921" s="26" t="str">
        <f>CONCATENATE(Tabela1[[#This Row],[CIDADE]],",",Tabela1[[#This Row],[UF]])</f>
        <v>MERCADO LIVRE,MERCADO LIVRE</v>
      </c>
      <c r="F6921" s="12">
        <v>46217</v>
      </c>
      <c r="G6921" s="14">
        <v>56.28</v>
      </c>
      <c r="H6921" s="13">
        <v>235.37</v>
      </c>
      <c r="I6921" s="7">
        <f>Tabela1[[#This Row],[Valor total]]-Tabela1[[#This Row],[Valor custo]]</f>
        <v>179.09</v>
      </c>
      <c r="J6921" s="27">
        <f>Tabela1[[#This Row],[MARGEM BRUTA]]/Tabela1[[#This Row],[Valor total]]</f>
        <v>0.76088711390576536</v>
      </c>
      <c r="K6921" s="26" t="str">
        <f>VLOOKUP(Tabela1[[#This Row],[Cliente]],'BASE DE CLIENTES'!A:D,4,0)</f>
        <v>OUTROS RAMOS</v>
      </c>
      <c r="L6921" s="26" t="str">
        <f>VLOOKUP(Tabela1[[#This Row],[Cliente]],'BASE DE CLIENTES'!A:E,5,0)</f>
        <v>MERCADO LIVRE</v>
      </c>
    </row>
    <row r="6922" spans="2:12" x14ac:dyDescent="0.3">
      <c r="B6922" t="s">
        <v>1223</v>
      </c>
      <c r="C6922" s="26" t="str">
        <f>VLOOKUP(Tabela1[[#This Row],[Cliente]],'BASE DE CLIENTES'!A:E,2,0)</f>
        <v>MERCADO LIVRE</v>
      </c>
      <c r="D6922" s="26" t="str">
        <f>VLOOKUP(Tabela1[[#This Row],[Cliente]],'BASE DE CLIENTES'!A:C,3,0)</f>
        <v>MERCADO LIVRE</v>
      </c>
      <c r="E6922" s="26" t="str">
        <f>CONCATENATE(Tabela1[[#This Row],[CIDADE]],",",Tabela1[[#This Row],[UF]])</f>
        <v>MERCADO LIVRE,MERCADO LIVRE</v>
      </c>
      <c r="F6922" s="12">
        <v>46217</v>
      </c>
      <c r="G6922" s="14">
        <v>48</v>
      </c>
      <c r="H6922" s="13">
        <v>84.66</v>
      </c>
      <c r="I6922" s="7">
        <f>Tabela1[[#This Row],[Valor total]]-Tabela1[[#This Row],[Valor custo]]</f>
        <v>36.659999999999997</v>
      </c>
      <c r="J6922" s="27">
        <f>Tabela1[[#This Row],[MARGEM BRUTA]]/Tabela1[[#This Row],[Valor total]]</f>
        <v>0.43302622253720763</v>
      </c>
      <c r="K6922" s="26" t="str">
        <f>VLOOKUP(Tabela1[[#This Row],[Cliente]],'BASE DE CLIENTES'!A:D,4,0)</f>
        <v>OUTROS RAMOS</v>
      </c>
      <c r="L6922" s="26" t="str">
        <f>VLOOKUP(Tabela1[[#This Row],[Cliente]],'BASE DE CLIENTES'!A:E,5,0)</f>
        <v>MERCADO LIVRE</v>
      </c>
    </row>
    <row r="6923" spans="2:12" x14ac:dyDescent="0.3">
      <c r="B6923" t="s">
        <v>150</v>
      </c>
      <c r="C6923" s="26" t="str">
        <f>VLOOKUP(Tabela1[[#This Row],[Cliente]],'BASE DE CLIENTES'!A:E,2,0)</f>
        <v>Anápolis</v>
      </c>
      <c r="D6923" s="26" t="str">
        <f>VLOOKUP(Tabela1[[#This Row],[Cliente]],'BASE DE CLIENTES'!A:C,3,0)</f>
        <v>GO</v>
      </c>
      <c r="E6923" s="26" t="str">
        <f>CONCATENATE(Tabela1[[#This Row],[CIDADE]],",",Tabela1[[#This Row],[UF]])</f>
        <v>Anápolis,GO</v>
      </c>
      <c r="F6923" s="12">
        <v>46216</v>
      </c>
      <c r="G6923" s="14">
        <v>2190</v>
      </c>
      <c r="H6923" s="13">
        <v>3540</v>
      </c>
      <c r="I6923" s="7">
        <f>Tabela1[[#This Row],[Valor total]]-Tabela1[[#This Row],[Valor custo]]</f>
        <v>1350</v>
      </c>
      <c r="J6923" s="27">
        <f>Tabela1[[#This Row],[MARGEM BRUTA]]/Tabela1[[#This Row],[Valor total]]</f>
        <v>0.38135593220338981</v>
      </c>
      <c r="K6923" s="26" t="str">
        <f>VLOOKUP(Tabela1[[#This Row],[Cliente]],'BASE DE CLIENTES'!A:D,4,0)</f>
        <v>EMPRESA COM MAQUINA</v>
      </c>
      <c r="L6923" s="26" t="str">
        <f>VLOOKUP(Tabela1[[#This Row],[Cliente]],'BASE DE CLIENTES'!A:E,5,0)</f>
        <v>Anápolis</v>
      </c>
    </row>
    <row r="6924" spans="2:12" x14ac:dyDescent="0.3">
      <c r="B6924" t="s">
        <v>42</v>
      </c>
      <c r="C6924" s="26" t="str">
        <f>VLOOKUP(Tabela1[[#This Row],[Cliente]],'BASE DE CLIENTES'!A:E,2,0)</f>
        <v>Brasília</v>
      </c>
      <c r="D6924" s="26" t="str">
        <f>VLOOKUP(Tabela1[[#This Row],[Cliente]],'BASE DE CLIENTES'!A:C,3,0)</f>
        <v>DF</v>
      </c>
      <c r="E6924" s="26" t="str">
        <f>CONCATENATE(Tabela1[[#This Row],[CIDADE]],",",Tabela1[[#This Row],[UF]])</f>
        <v>Brasília,DF</v>
      </c>
      <c r="F6924" s="12">
        <v>46216</v>
      </c>
      <c r="G6924" s="14">
        <v>905.18</v>
      </c>
      <c r="H6924" s="13">
        <v>1460</v>
      </c>
      <c r="I6924" s="7">
        <f>Tabela1[[#This Row],[Valor total]]-Tabela1[[#This Row],[Valor custo]]</f>
        <v>554.82000000000005</v>
      </c>
      <c r="J6924" s="27">
        <f>Tabela1[[#This Row],[MARGEM BRUTA]]/Tabela1[[#This Row],[Valor total]]</f>
        <v>0.38001369863013701</v>
      </c>
      <c r="K6924" s="26" t="str">
        <f>VLOOKUP(Tabela1[[#This Row],[Cliente]],'BASE DE CLIENTES'!A:D,4,0)</f>
        <v>EMPRESA SEM MAQUINA</v>
      </c>
      <c r="L6924" s="26" t="str">
        <f>VLOOKUP(Tabela1[[#This Row],[Cliente]],'BASE DE CLIENTES'!A:E,5,0)</f>
        <v>SAMAMBAIA</v>
      </c>
    </row>
    <row r="6925" spans="2:12" x14ac:dyDescent="0.3">
      <c r="B6925" t="s">
        <v>1141</v>
      </c>
      <c r="C6925" s="26" t="str">
        <f>VLOOKUP(Tabela1[[#This Row],[Cliente]],'BASE DE CLIENTES'!A:E,2,0)</f>
        <v>Aparecida de Goiânia</v>
      </c>
      <c r="D6925" s="26" t="str">
        <f>VLOOKUP(Tabela1[[#This Row],[Cliente]],'BASE DE CLIENTES'!A:C,3,0)</f>
        <v>GO</v>
      </c>
      <c r="E6925" s="26" t="str">
        <f>CONCATENATE(Tabela1[[#This Row],[CIDADE]],",",Tabela1[[#This Row],[UF]])</f>
        <v>Aparecida de Goiânia,GO</v>
      </c>
      <c r="F6925" s="12">
        <v>46216</v>
      </c>
      <c r="G6925" s="14">
        <v>67.12</v>
      </c>
      <c r="H6925" s="13">
        <v>160</v>
      </c>
      <c r="I6925" s="7">
        <f>Tabela1[[#This Row],[Valor total]]-Tabela1[[#This Row],[Valor custo]]</f>
        <v>92.88</v>
      </c>
      <c r="J6925" s="27">
        <f>Tabela1[[#This Row],[MARGEM BRUTA]]/Tabela1[[#This Row],[Valor total]]</f>
        <v>0.58050000000000002</v>
      </c>
      <c r="K6925" s="26" t="str">
        <f>VLOOKUP(Tabela1[[#This Row],[Cliente]],'BASE DE CLIENTES'!A:D,4,0)</f>
        <v>CLIENTE NOVO S/ IDENT.</v>
      </c>
      <c r="L6925" s="26" t="str">
        <f>VLOOKUP(Tabela1[[#This Row],[Cliente]],'BASE DE CLIENTES'!A:E,5,0)</f>
        <v>Aparecida de Goiânia</v>
      </c>
    </row>
    <row r="6926" spans="2:12" x14ac:dyDescent="0.3">
      <c r="B6926" t="s">
        <v>1312</v>
      </c>
      <c r="C6926" s="26" t="str">
        <f>VLOOKUP(Tabela1[[#This Row],[Cliente]],'BASE DE CLIENTES'!A:E,2,0)</f>
        <v>PARANÃ</v>
      </c>
      <c r="D6926" s="26" t="str">
        <f>VLOOKUP(Tabela1[[#This Row],[Cliente]],'BASE DE CLIENTES'!A:C,3,0)</f>
        <v>TO</v>
      </c>
      <c r="E6926" s="26" t="str">
        <f>CONCATENATE(Tabela1[[#This Row],[CIDADE]],",",Tabela1[[#This Row],[UF]])</f>
        <v>PARANÃ,TO</v>
      </c>
      <c r="F6926" s="12">
        <v>46216</v>
      </c>
      <c r="G6926" s="14">
        <v>20</v>
      </c>
      <c r="H6926" s="13">
        <v>180</v>
      </c>
      <c r="I6926" s="7">
        <f>Tabela1[[#This Row],[Valor total]]-Tabela1[[#This Row],[Valor custo]]</f>
        <v>160</v>
      </c>
      <c r="J6926" s="27">
        <f>Tabela1[[#This Row],[MARGEM BRUTA]]/Tabela1[[#This Row],[Valor total]]</f>
        <v>0.88888888888888884</v>
      </c>
      <c r="K6926" s="26" t="str">
        <f>VLOOKUP(Tabela1[[#This Row],[Cliente]],'BASE DE CLIENTES'!A:D,4,0)</f>
        <v>CLIENTE NOVO S/ IDENT.</v>
      </c>
      <c r="L6926" s="26" t="str">
        <f>VLOOKUP(Tabela1[[#This Row],[Cliente]],'BASE DE CLIENTES'!A:E,5,0)</f>
        <v>PARANÃ</v>
      </c>
    </row>
    <row r="6927" spans="2:12" x14ac:dyDescent="0.3">
      <c r="B6927" t="s">
        <v>299</v>
      </c>
      <c r="C6927" s="26" t="str">
        <f>VLOOKUP(Tabela1[[#This Row],[Cliente]],'BASE DE CLIENTES'!A:E,2,0)</f>
        <v>Santo Antônio Descoberto</v>
      </c>
      <c r="D6927" s="26" t="str">
        <f>VLOOKUP(Tabela1[[#This Row],[Cliente]],'BASE DE CLIENTES'!A:C,3,0)</f>
        <v>GO</v>
      </c>
      <c r="E6927" s="26" t="str">
        <f>CONCATENATE(Tabela1[[#This Row],[CIDADE]],",",Tabela1[[#This Row],[UF]])</f>
        <v>Santo Antônio Descoberto,GO</v>
      </c>
      <c r="F6927" s="12">
        <v>46216</v>
      </c>
      <c r="G6927" s="14">
        <v>15.2</v>
      </c>
      <c r="H6927" s="13">
        <v>70</v>
      </c>
      <c r="I6927" s="7">
        <f>Tabela1[[#This Row],[Valor total]]-Tabela1[[#This Row],[Valor custo]]</f>
        <v>54.8</v>
      </c>
      <c r="J6927" s="27">
        <f>Tabela1[[#This Row],[MARGEM BRUTA]]/Tabela1[[#This Row],[Valor total]]</f>
        <v>0.78285714285714281</v>
      </c>
      <c r="K6927" s="26" t="str">
        <f>VLOOKUP(Tabela1[[#This Row],[Cliente]],'BASE DE CLIENTES'!A:D,4,0)</f>
        <v>SERRALHEIRO</v>
      </c>
      <c r="L6927" s="26" t="str">
        <f>VLOOKUP(Tabela1[[#This Row],[Cliente]],'BASE DE CLIENTES'!A:E,5,0)</f>
        <v>Santo Antônio Descoberto</v>
      </c>
    </row>
    <row r="6928" spans="2:12" x14ac:dyDescent="0.3">
      <c r="B6928" t="s">
        <v>147</v>
      </c>
      <c r="C6928" s="26" t="str">
        <f>VLOOKUP(Tabela1[[#This Row],[Cliente]],'BASE DE CLIENTES'!A:E,2,0)</f>
        <v>Brasília</v>
      </c>
      <c r="D6928" s="26" t="str">
        <f>VLOOKUP(Tabela1[[#This Row],[Cliente]],'BASE DE CLIENTES'!A:C,3,0)</f>
        <v>DF</v>
      </c>
      <c r="E6928" s="26" t="str">
        <f>CONCATENATE(Tabela1[[#This Row],[CIDADE]],",",Tabela1[[#This Row],[UF]])</f>
        <v>Brasília,DF</v>
      </c>
      <c r="F6928" s="12">
        <v>46216</v>
      </c>
      <c r="G6928" s="14">
        <v>960</v>
      </c>
      <c r="H6928" s="13">
        <v>1400</v>
      </c>
      <c r="I6928" s="7">
        <f>Tabela1[[#This Row],[Valor total]]-Tabela1[[#This Row],[Valor custo]]</f>
        <v>440</v>
      </c>
      <c r="J6928" s="27">
        <f>Tabela1[[#This Row],[MARGEM BRUTA]]/Tabela1[[#This Row],[Valor total]]</f>
        <v>0.31428571428571428</v>
      </c>
      <c r="K6928" s="26" t="str">
        <f>VLOOKUP(Tabela1[[#This Row],[Cliente]],'BASE DE CLIENTES'!A:D,4,0)</f>
        <v>SEM CLASSIFICAÇÃO</v>
      </c>
      <c r="L6928" s="26" t="str">
        <f>VLOOKUP(Tabela1[[#This Row],[Cliente]],'BASE DE CLIENTES'!A:E,5,0)</f>
        <v>AREAL (AGUAS CLARAS)</v>
      </c>
    </row>
    <row r="6929" spans="2:12" x14ac:dyDescent="0.3">
      <c r="B6929" t="s">
        <v>230</v>
      </c>
      <c r="C6929" s="26" t="str">
        <f>VLOOKUP(Tabela1[[#This Row],[Cliente]],'BASE DE CLIENTES'!A:E,2,0)</f>
        <v>Brasília</v>
      </c>
      <c r="D6929" s="26" t="str">
        <f>VLOOKUP(Tabela1[[#This Row],[Cliente]],'BASE DE CLIENTES'!A:C,3,0)</f>
        <v>DF</v>
      </c>
      <c r="E6929" s="26" t="str">
        <f>CONCATENATE(Tabela1[[#This Row],[CIDADE]],",",Tabela1[[#This Row],[UF]])</f>
        <v>Brasília,DF</v>
      </c>
      <c r="F6929" s="12">
        <v>46213</v>
      </c>
      <c r="G6929" s="14">
        <v>580</v>
      </c>
      <c r="H6929" s="13">
        <v>1000</v>
      </c>
      <c r="I6929" s="7">
        <f>Tabela1[[#This Row],[Valor total]]-Tabela1[[#This Row],[Valor custo]]</f>
        <v>420</v>
      </c>
      <c r="J6929" s="27">
        <f>Tabela1[[#This Row],[MARGEM BRUTA]]/Tabela1[[#This Row],[Valor total]]</f>
        <v>0.42</v>
      </c>
      <c r="K6929" s="26" t="str">
        <f>VLOOKUP(Tabela1[[#This Row],[Cliente]],'BASE DE CLIENTES'!A:D,4,0)</f>
        <v>SERRALHEIRO</v>
      </c>
      <c r="L6929" s="26" t="str">
        <f>VLOOKUP(Tabela1[[#This Row],[Cliente]],'BASE DE CLIENTES'!A:E,5,0)</f>
        <v>SETOR HABITACIONAL SAMAMBAIA (VICENTE PIRES)</v>
      </c>
    </row>
    <row r="6930" spans="2:12" x14ac:dyDescent="0.3">
      <c r="B6930" t="s">
        <v>303</v>
      </c>
      <c r="C6930" s="26" t="str">
        <f>VLOOKUP(Tabela1[[#This Row],[Cliente]],'BASE DE CLIENTES'!A:E,2,0)</f>
        <v>Trindade</v>
      </c>
      <c r="D6930" s="26" t="str">
        <f>VLOOKUP(Tabela1[[#This Row],[Cliente]],'BASE DE CLIENTES'!A:C,3,0)</f>
        <v>GO</v>
      </c>
      <c r="E6930" s="26" t="str">
        <f>CONCATENATE(Tabela1[[#This Row],[CIDADE]],",",Tabela1[[#This Row],[UF]])</f>
        <v>Trindade,GO</v>
      </c>
      <c r="F6930" s="12">
        <v>46216</v>
      </c>
      <c r="G6930" s="14">
        <v>8610.2800000000007</v>
      </c>
      <c r="H6930" s="13">
        <v>13480</v>
      </c>
      <c r="I6930" s="7">
        <f>Tabela1[[#This Row],[Valor total]]-Tabela1[[#This Row],[Valor custo]]</f>
        <v>4869.7199999999993</v>
      </c>
      <c r="J6930" s="27">
        <f>Tabela1[[#This Row],[MARGEM BRUTA]]/Tabela1[[#This Row],[Valor total]]</f>
        <v>0.36125519287833824</v>
      </c>
      <c r="K6930" s="26" t="str">
        <f>VLOOKUP(Tabela1[[#This Row],[Cliente]],'BASE DE CLIENTES'!A:D,4,0)</f>
        <v>EMPRESA COM MAQUINA</v>
      </c>
      <c r="L6930" s="26" t="str">
        <f>VLOOKUP(Tabela1[[#This Row],[Cliente]],'BASE DE CLIENTES'!A:E,5,0)</f>
        <v>Trindade</v>
      </c>
    </row>
    <row r="6931" spans="2:12" x14ac:dyDescent="0.3">
      <c r="B6931" t="s">
        <v>140</v>
      </c>
      <c r="C6931" s="26" t="str">
        <f>VLOOKUP(Tabela1[[#This Row],[Cliente]],'BASE DE CLIENTES'!A:E,2,0)</f>
        <v>Brasília</v>
      </c>
      <c r="D6931" s="26" t="str">
        <f>VLOOKUP(Tabela1[[#This Row],[Cliente]],'BASE DE CLIENTES'!A:C,3,0)</f>
        <v>DF</v>
      </c>
      <c r="E6931" s="26" t="str">
        <f>CONCATENATE(Tabela1[[#This Row],[CIDADE]],",",Tabela1[[#This Row],[UF]])</f>
        <v>Brasília,DF</v>
      </c>
      <c r="F6931" s="12">
        <v>46216</v>
      </c>
      <c r="G6931" s="14">
        <v>20616.900000000001</v>
      </c>
      <c r="H6931" s="13">
        <v>30000</v>
      </c>
      <c r="I6931" s="7">
        <f>Tabela1[[#This Row],[Valor total]]-Tabela1[[#This Row],[Valor custo]]</f>
        <v>9383.0999999999985</v>
      </c>
      <c r="J6931" s="27">
        <f>Tabela1[[#This Row],[MARGEM BRUTA]]/Tabela1[[#This Row],[Valor total]]</f>
        <v>0.31276999999999994</v>
      </c>
      <c r="K6931" s="26" t="str">
        <f>VLOOKUP(Tabela1[[#This Row],[Cliente]],'BASE DE CLIENTES'!A:D,4,0)</f>
        <v>EMPRESA COM MAQUINA</v>
      </c>
      <c r="L6931" s="26" t="str">
        <f>VLOOKUP(Tabela1[[#This Row],[Cliente]],'BASE DE CLIENTES'!A:E,5,0)</f>
        <v>RECANTO DAS EMAS</v>
      </c>
    </row>
    <row r="6932" spans="2:12" x14ac:dyDescent="0.3">
      <c r="B6932" t="s">
        <v>76</v>
      </c>
      <c r="C6932" s="26" t="str">
        <f>VLOOKUP(Tabela1[[#This Row],[Cliente]],'BASE DE CLIENTES'!A:E,2,0)</f>
        <v>Brasília</v>
      </c>
      <c r="D6932" s="26" t="str">
        <f>VLOOKUP(Tabela1[[#This Row],[Cliente]],'BASE DE CLIENTES'!A:C,3,0)</f>
        <v>DF</v>
      </c>
      <c r="E6932" s="26" t="str">
        <f>CONCATENATE(Tabela1[[#This Row],[CIDADE]],",",Tabela1[[#This Row],[UF]])</f>
        <v>Brasília,DF</v>
      </c>
      <c r="F6932" s="12">
        <v>46216</v>
      </c>
      <c r="G6932" s="14">
        <v>6836.07</v>
      </c>
      <c r="H6932" s="13">
        <v>10094</v>
      </c>
      <c r="I6932" s="7">
        <f>Tabela1[[#This Row],[Valor total]]-Tabela1[[#This Row],[Valor custo]]</f>
        <v>3257.9300000000003</v>
      </c>
      <c r="J6932" s="27">
        <f>Tabela1[[#This Row],[MARGEM BRUTA]]/Tabela1[[#This Row],[Valor total]]</f>
        <v>0.32275906479096494</v>
      </c>
      <c r="K6932" s="26" t="str">
        <f>VLOOKUP(Tabela1[[#This Row],[Cliente]],'BASE DE CLIENTES'!A:D,4,0)</f>
        <v>EMPRESA COM MAQUINA</v>
      </c>
      <c r="L6932" s="26" t="str">
        <f>VLOOKUP(Tabela1[[#This Row],[Cliente]],'BASE DE CLIENTES'!A:E,5,0)</f>
        <v>Setor Placa da Mercedes (Núcleo Bandeirante)</v>
      </c>
    </row>
    <row r="6933" spans="2:12" x14ac:dyDescent="0.3">
      <c r="B6933" t="s">
        <v>102</v>
      </c>
      <c r="C6933" s="26" t="str">
        <f>VLOOKUP(Tabela1[[#This Row],[Cliente]],'BASE DE CLIENTES'!A:E,2,0)</f>
        <v>Brasília</v>
      </c>
      <c r="D6933" s="26" t="str">
        <f>VLOOKUP(Tabela1[[#This Row],[Cliente]],'BASE DE CLIENTES'!A:C,3,0)</f>
        <v>DF</v>
      </c>
      <c r="E6933" s="26" t="str">
        <f>CONCATENATE(Tabela1[[#This Row],[CIDADE]],",",Tabela1[[#This Row],[UF]])</f>
        <v>Brasília,DF</v>
      </c>
      <c r="F6933" s="12">
        <v>46216</v>
      </c>
      <c r="G6933" s="14">
        <v>404.38</v>
      </c>
      <c r="H6933" s="13">
        <v>660</v>
      </c>
      <c r="I6933" s="7">
        <f>Tabela1[[#This Row],[Valor total]]-Tabela1[[#This Row],[Valor custo]]</f>
        <v>255.62</v>
      </c>
      <c r="J6933" s="27">
        <f>Tabela1[[#This Row],[MARGEM BRUTA]]/Tabela1[[#This Row],[Valor total]]</f>
        <v>0.38730303030303032</v>
      </c>
      <c r="K6933" s="26" t="str">
        <f>VLOOKUP(Tabela1[[#This Row],[Cliente]],'BASE DE CLIENTES'!A:D,4,0)</f>
        <v>SERRALHEIRO</v>
      </c>
      <c r="L6933" s="26" t="str">
        <f>VLOOKUP(Tabela1[[#This Row],[Cliente]],'BASE DE CLIENTES'!A:E,5,0)</f>
        <v>Samambaia Norte (Samambaia)</v>
      </c>
    </row>
    <row r="6934" spans="2:12" x14ac:dyDescent="0.3">
      <c r="B6934" t="s">
        <v>66</v>
      </c>
      <c r="C6934" s="26" t="str">
        <f>VLOOKUP(Tabela1[[#This Row],[Cliente]],'BASE DE CLIENTES'!A:E,2,0)</f>
        <v>Águas Lindas de Goiás</v>
      </c>
      <c r="D6934" s="26" t="str">
        <f>VLOOKUP(Tabela1[[#This Row],[Cliente]],'BASE DE CLIENTES'!A:C,3,0)</f>
        <v>GO</v>
      </c>
      <c r="E6934" s="26" t="str">
        <f>CONCATENATE(Tabela1[[#This Row],[CIDADE]],",",Tabela1[[#This Row],[UF]])</f>
        <v>Águas Lindas de Goiás,GO</v>
      </c>
      <c r="F6934" s="12">
        <v>46216</v>
      </c>
      <c r="G6934" s="14">
        <v>1984.6</v>
      </c>
      <c r="H6934" s="13">
        <v>3150</v>
      </c>
      <c r="I6934" s="7">
        <f>Tabela1[[#This Row],[Valor total]]-Tabela1[[#This Row],[Valor custo]]</f>
        <v>1165.4000000000001</v>
      </c>
      <c r="J6934" s="27">
        <f>Tabela1[[#This Row],[MARGEM BRUTA]]/Tabela1[[#This Row],[Valor total]]</f>
        <v>0.369968253968254</v>
      </c>
      <c r="K6934" s="26" t="str">
        <f>VLOOKUP(Tabela1[[#This Row],[Cliente]],'BASE DE CLIENTES'!A:D,4,0)</f>
        <v>EMPRESA COM MAQUINA</v>
      </c>
      <c r="L6934" s="26" t="str">
        <f>VLOOKUP(Tabela1[[#This Row],[Cliente]],'BASE DE CLIENTES'!A:E,5,0)</f>
        <v>Águas Lindas de Goiás</v>
      </c>
    </row>
    <row r="6935" spans="2:12" x14ac:dyDescent="0.3">
      <c r="B6935" t="s">
        <v>1223</v>
      </c>
      <c r="C6935" s="26" t="str">
        <f>VLOOKUP(Tabela1[[#This Row],[Cliente]],'BASE DE CLIENTES'!A:E,2,0)</f>
        <v>MERCADO LIVRE</v>
      </c>
      <c r="D6935" s="26" t="str">
        <f>VLOOKUP(Tabela1[[#This Row],[Cliente]],'BASE DE CLIENTES'!A:C,3,0)</f>
        <v>MERCADO LIVRE</v>
      </c>
      <c r="E6935" s="26" t="str">
        <f>CONCATENATE(Tabela1[[#This Row],[CIDADE]],",",Tabela1[[#This Row],[UF]])</f>
        <v>MERCADO LIVRE,MERCADO LIVRE</v>
      </c>
      <c r="F6935" s="12">
        <v>46216</v>
      </c>
      <c r="G6935" s="14">
        <v>0</v>
      </c>
      <c r="H6935" s="13">
        <v>40.72</v>
      </c>
      <c r="I6935" s="7">
        <f>Tabela1[[#This Row],[Valor total]]-Tabela1[[#This Row],[Valor custo]]</f>
        <v>40.72</v>
      </c>
      <c r="J6935" s="27">
        <f>Tabela1[[#This Row],[MARGEM BRUTA]]/Tabela1[[#This Row],[Valor total]]</f>
        <v>1</v>
      </c>
      <c r="K6935" s="26" t="str">
        <f>VLOOKUP(Tabela1[[#This Row],[Cliente]],'BASE DE CLIENTES'!A:D,4,0)</f>
        <v>OUTROS RAMOS</v>
      </c>
      <c r="L6935" s="26" t="str">
        <f>VLOOKUP(Tabela1[[#This Row],[Cliente]],'BASE DE CLIENTES'!A:E,5,0)</f>
        <v>MERCADO LIVRE</v>
      </c>
    </row>
    <row r="6936" spans="2:12" x14ac:dyDescent="0.3">
      <c r="B6936" t="s">
        <v>88</v>
      </c>
      <c r="C6936" s="26" t="str">
        <f>VLOOKUP(Tabela1[[#This Row],[Cliente]],'BASE DE CLIENTES'!A:E,2,0)</f>
        <v>Brasília</v>
      </c>
      <c r="D6936" s="26" t="str">
        <f>VLOOKUP(Tabela1[[#This Row],[Cliente]],'BASE DE CLIENTES'!A:C,3,0)</f>
        <v>DF</v>
      </c>
      <c r="E6936" s="26" t="str">
        <f>CONCATENATE(Tabela1[[#This Row],[CIDADE]],",",Tabela1[[#This Row],[UF]])</f>
        <v>Brasília,DF</v>
      </c>
      <c r="F6936" s="12">
        <v>46216</v>
      </c>
      <c r="G6936" s="14">
        <v>1410</v>
      </c>
      <c r="H6936" s="13">
        <v>2440</v>
      </c>
      <c r="I6936" s="7">
        <f>Tabela1[[#This Row],[Valor total]]-Tabela1[[#This Row],[Valor custo]]</f>
        <v>1030</v>
      </c>
      <c r="J6936" s="27">
        <f>Tabela1[[#This Row],[MARGEM BRUTA]]/Tabela1[[#This Row],[Valor total]]</f>
        <v>0.42213114754098363</v>
      </c>
      <c r="K6936" s="26" t="str">
        <f>VLOOKUP(Tabela1[[#This Row],[Cliente]],'BASE DE CLIENTES'!A:D,4,0)</f>
        <v>SERRALHEIRO</v>
      </c>
      <c r="L6936" s="26" t="str">
        <f>VLOOKUP(Tabela1[[#This Row],[Cliente]],'BASE DE CLIENTES'!A:E,5,0)</f>
        <v>RECANTO DAS EMAS</v>
      </c>
    </row>
    <row r="6937" spans="2:12" x14ac:dyDescent="0.3">
      <c r="B6937" t="s">
        <v>19</v>
      </c>
      <c r="C6937" s="26" t="str">
        <f>VLOOKUP(Tabela1[[#This Row],[Cliente]],'BASE DE CLIENTES'!A:E,2,0)</f>
        <v>Águas Lindas de Goiás</v>
      </c>
      <c r="D6937" s="26" t="str">
        <f>VLOOKUP(Tabela1[[#This Row],[Cliente]],'BASE DE CLIENTES'!A:C,3,0)</f>
        <v>GO</v>
      </c>
      <c r="E6937" s="26" t="str">
        <f>CONCATENATE(Tabela1[[#This Row],[CIDADE]],",",Tabela1[[#This Row],[UF]])</f>
        <v>Águas Lindas de Goiás,GO</v>
      </c>
      <c r="F6937" s="12">
        <v>46216</v>
      </c>
      <c r="G6937" s="14">
        <v>670</v>
      </c>
      <c r="H6937" s="13">
        <v>1200</v>
      </c>
      <c r="I6937" s="7">
        <f>Tabela1[[#This Row],[Valor total]]-Tabela1[[#This Row],[Valor custo]]</f>
        <v>530</v>
      </c>
      <c r="J6937" s="27">
        <f>Tabela1[[#This Row],[MARGEM BRUTA]]/Tabela1[[#This Row],[Valor total]]</f>
        <v>0.44166666666666665</v>
      </c>
      <c r="K6937" s="26" t="str">
        <f>VLOOKUP(Tabela1[[#This Row],[Cliente]],'BASE DE CLIENTES'!A:D,4,0)</f>
        <v>SERRALHEIRO</v>
      </c>
      <c r="L6937" s="26" t="str">
        <f>VLOOKUP(Tabela1[[#This Row],[Cliente]],'BASE DE CLIENTES'!A:E,5,0)</f>
        <v>Águas Lindas de Goiás</v>
      </c>
    </row>
    <row r="6938" spans="2:12" x14ac:dyDescent="0.3">
      <c r="B6938" t="s">
        <v>254</v>
      </c>
      <c r="C6938" s="26" t="str">
        <f>VLOOKUP(Tabela1[[#This Row],[Cliente]],'BASE DE CLIENTES'!A:E,2,0)</f>
        <v>Luziânia</v>
      </c>
      <c r="D6938" s="26" t="str">
        <f>VLOOKUP(Tabela1[[#This Row],[Cliente]],'BASE DE CLIENTES'!A:C,3,0)</f>
        <v>GO</v>
      </c>
      <c r="E6938" s="26" t="str">
        <f>CONCATENATE(Tabela1[[#This Row],[CIDADE]],",",Tabela1[[#This Row],[UF]])</f>
        <v>Luziânia,GO</v>
      </c>
      <c r="F6938" s="12">
        <v>46216</v>
      </c>
      <c r="G6938" s="14">
        <v>20</v>
      </c>
      <c r="H6938" s="13">
        <v>30</v>
      </c>
      <c r="I6938" s="7">
        <f>Tabela1[[#This Row],[Valor total]]-Tabela1[[#This Row],[Valor custo]]</f>
        <v>10</v>
      </c>
      <c r="J6938" s="27">
        <f>Tabela1[[#This Row],[MARGEM BRUTA]]/Tabela1[[#This Row],[Valor total]]</f>
        <v>0.33333333333333331</v>
      </c>
      <c r="K6938" s="26" t="str">
        <f>VLOOKUP(Tabela1[[#This Row],[Cliente]],'BASE DE CLIENTES'!A:D,4,0)</f>
        <v>SERRALHEIRO</v>
      </c>
      <c r="L6938" s="26" t="str">
        <f>VLOOKUP(Tabela1[[#This Row],[Cliente]],'BASE DE CLIENTES'!A:E,5,0)</f>
        <v>Luziânia</v>
      </c>
    </row>
    <row r="6939" spans="2:12" x14ac:dyDescent="0.3">
      <c r="B6939" t="s">
        <v>27</v>
      </c>
      <c r="C6939" s="26" t="str">
        <f>VLOOKUP(Tabela1[[#This Row],[Cliente]],'BASE DE CLIENTES'!A:E,2,0)</f>
        <v>Brasília</v>
      </c>
      <c r="D6939" s="26" t="str">
        <f>VLOOKUP(Tabela1[[#This Row],[Cliente]],'BASE DE CLIENTES'!A:C,3,0)</f>
        <v>DF</v>
      </c>
      <c r="E6939" s="26" t="str">
        <f>CONCATENATE(Tabela1[[#This Row],[CIDADE]],",",Tabela1[[#This Row],[UF]])</f>
        <v>Brasília,DF</v>
      </c>
      <c r="F6939" s="12">
        <v>46216</v>
      </c>
      <c r="G6939" s="14">
        <v>380</v>
      </c>
      <c r="H6939" s="13">
        <v>615</v>
      </c>
      <c r="I6939" s="7">
        <f>Tabela1[[#This Row],[Valor total]]-Tabela1[[#This Row],[Valor custo]]</f>
        <v>235</v>
      </c>
      <c r="J6939" s="27">
        <f>Tabela1[[#This Row],[MARGEM BRUTA]]/Tabela1[[#This Row],[Valor total]]</f>
        <v>0.38211382113821141</v>
      </c>
      <c r="K6939" s="26" t="str">
        <f>VLOOKUP(Tabela1[[#This Row],[Cliente]],'BASE DE CLIENTES'!A:D,4,0)</f>
        <v>EMPRESA SEM MAQUINA</v>
      </c>
      <c r="L6939" s="26" t="str">
        <f>VLOOKUP(Tabela1[[#This Row],[Cliente]],'BASE DE CLIENTES'!A:E,5,0)</f>
        <v>RECANTO DAS EMAS</v>
      </c>
    </row>
    <row r="6940" spans="2:12" x14ac:dyDescent="0.3">
      <c r="B6940" t="s">
        <v>178</v>
      </c>
      <c r="C6940" s="26" t="str">
        <f>VLOOKUP(Tabela1[[#This Row],[Cliente]],'BASE DE CLIENTES'!A:E,2,0)</f>
        <v xml:space="preserve">Belém </v>
      </c>
      <c r="D6940" s="26" t="str">
        <f>VLOOKUP(Tabela1[[#This Row],[Cliente]],'BASE DE CLIENTES'!A:C,3,0)</f>
        <v>PA</v>
      </c>
      <c r="E6940" s="26" t="str">
        <f>CONCATENATE(Tabela1[[#This Row],[CIDADE]],",",Tabela1[[#This Row],[UF]])</f>
        <v>Belém ,PA</v>
      </c>
      <c r="F6940" s="12">
        <v>46216</v>
      </c>
      <c r="G6940" s="14">
        <v>6464.1</v>
      </c>
      <c r="H6940" s="13">
        <v>11500</v>
      </c>
      <c r="I6940" s="7">
        <f>Tabela1[[#This Row],[Valor total]]-Tabela1[[#This Row],[Valor custo]]</f>
        <v>5035.8999999999996</v>
      </c>
      <c r="J6940" s="27">
        <f>Tabela1[[#This Row],[MARGEM BRUTA]]/Tabela1[[#This Row],[Valor total]]</f>
        <v>0.43790434782608695</v>
      </c>
      <c r="K6940" s="26" t="str">
        <f>VLOOKUP(Tabela1[[#This Row],[Cliente]],'BASE DE CLIENTES'!A:D,4,0)</f>
        <v>EMPRESA COM MAQUINA</v>
      </c>
      <c r="L6940" s="26" t="str">
        <f>VLOOKUP(Tabela1[[#This Row],[Cliente]],'BASE DE CLIENTES'!A:E,5,0)</f>
        <v xml:space="preserve">Belém </v>
      </c>
    </row>
    <row r="6941" spans="2:12" x14ac:dyDescent="0.3">
      <c r="B6941" t="s">
        <v>38</v>
      </c>
      <c r="C6941" s="26" t="str">
        <f>VLOOKUP(Tabela1[[#This Row],[Cliente]],'BASE DE CLIENTES'!A:E,2,0)</f>
        <v>Brasília</v>
      </c>
      <c r="D6941" s="26" t="str">
        <f>VLOOKUP(Tabela1[[#This Row],[Cliente]],'BASE DE CLIENTES'!A:C,3,0)</f>
        <v>DF</v>
      </c>
      <c r="E6941" s="26" t="str">
        <f>CONCATENATE(Tabela1[[#This Row],[CIDADE]],",",Tabela1[[#This Row],[UF]])</f>
        <v>Brasília,DF</v>
      </c>
      <c r="F6941" s="12">
        <v>46216</v>
      </c>
      <c r="G6941" s="14">
        <v>450.3</v>
      </c>
      <c r="H6941" s="13">
        <v>700</v>
      </c>
      <c r="I6941" s="7">
        <f>Tabela1[[#This Row],[Valor total]]-Tabela1[[#This Row],[Valor custo]]</f>
        <v>249.7</v>
      </c>
      <c r="J6941" s="27">
        <f>Tabela1[[#This Row],[MARGEM BRUTA]]/Tabela1[[#This Row],[Valor total]]</f>
        <v>0.35671428571428571</v>
      </c>
      <c r="K6941" s="26" t="str">
        <f>VLOOKUP(Tabela1[[#This Row],[Cliente]],'BASE DE CLIENTES'!A:D,4,0)</f>
        <v>EMPRESA SEM MAQUINA</v>
      </c>
      <c r="L6941" s="26" t="str">
        <f>VLOOKUP(Tabela1[[#This Row],[Cliente]],'BASE DE CLIENTES'!A:E,5,0)</f>
        <v>PONTE ALTA NORTE (GAMA)</v>
      </c>
    </row>
    <row r="6942" spans="2:12" x14ac:dyDescent="0.3">
      <c r="B6942" t="s">
        <v>1221</v>
      </c>
      <c r="C6942" s="26" t="str">
        <f>VLOOKUP(Tabela1[[#This Row],[Cliente]],'BASE DE CLIENTES'!A:E,2,0)</f>
        <v>Brasília</v>
      </c>
      <c r="D6942" s="26" t="str">
        <f>VLOOKUP(Tabela1[[#This Row],[Cliente]],'BASE DE CLIENTES'!A:C,3,0)</f>
        <v>DF</v>
      </c>
      <c r="E6942" s="26" t="str">
        <f>CONCATENATE(Tabela1[[#This Row],[CIDADE]],",",Tabela1[[#This Row],[UF]])</f>
        <v>Brasília,DF</v>
      </c>
      <c r="F6942" s="12">
        <v>46216</v>
      </c>
      <c r="G6942" s="14">
        <v>843.69</v>
      </c>
      <c r="H6942" s="13">
        <v>1400</v>
      </c>
      <c r="I6942" s="7">
        <f>Tabela1[[#This Row],[Valor total]]-Tabela1[[#This Row],[Valor custo]]</f>
        <v>556.30999999999995</v>
      </c>
      <c r="J6942" s="27">
        <f>Tabela1[[#This Row],[MARGEM BRUTA]]/Tabela1[[#This Row],[Valor total]]</f>
        <v>0.39736428571428567</v>
      </c>
      <c r="K6942" s="26" t="str">
        <f>VLOOKUP(Tabela1[[#This Row],[Cliente]],'BASE DE CLIENTES'!A:D,4,0)</f>
        <v>CLIENTE NOVO S/ IDENT.</v>
      </c>
      <c r="L6942" s="26" t="str">
        <f>VLOOKUP(Tabela1[[#This Row],[Cliente]],'BASE DE CLIENTES'!A:E,5,0)</f>
        <v>SAMAMBAIA SUL</v>
      </c>
    </row>
    <row r="6943" spans="2:12" x14ac:dyDescent="0.3">
      <c r="B6943" t="s">
        <v>322</v>
      </c>
      <c r="C6943" s="26" t="str">
        <f>VLOOKUP(Tabela1[[#This Row],[Cliente]],'BASE DE CLIENTES'!A:E,2,0)</f>
        <v>Brasília</v>
      </c>
      <c r="D6943" s="26" t="str">
        <f>VLOOKUP(Tabela1[[#This Row],[Cliente]],'BASE DE CLIENTES'!A:C,3,0)</f>
        <v>DF</v>
      </c>
      <c r="E6943" s="26" t="str">
        <f>CONCATENATE(Tabela1[[#This Row],[CIDADE]],",",Tabela1[[#This Row],[UF]])</f>
        <v>Brasília,DF</v>
      </c>
      <c r="F6943" s="12">
        <v>46216</v>
      </c>
      <c r="G6943" s="14">
        <v>191</v>
      </c>
      <c r="H6943" s="13">
        <v>300</v>
      </c>
      <c r="I6943" s="7">
        <f>Tabela1[[#This Row],[Valor total]]-Tabela1[[#This Row],[Valor custo]]</f>
        <v>109</v>
      </c>
      <c r="J6943" s="27">
        <f>Tabela1[[#This Row],[MARGEM BRUTA]]/Tabela1[[#This Row],[Valor total]]</f>
        <v>0.36333333333333334</v>
      </c>
      <c r="K6943" s="26" t="str">
        <f>VLOOKUP(Tabela1[[#This Row],[Cliente]],'BASE DE CLIENTES'!A:D,4,0)</f>
        <v>SERRALHEIRO</v>
      </c>
      <c r="L6943" s="26" t="str">
        <f>VLOOKUP(Tabela1[[#This Row],[Cliente]],'BASE DE CLIENTES'!A:E,5,0)</f>
        <v>RIACHO FUNDO I</v>
      </c>
    </row>
    <row r="6944" spans="2:12" x14ac:dyDescent="0.3">
      <c r="B6944" t="s">
        <v>25</v>
      </c>
      <c r="C6944" s="26" t="str">
        <f>VLOOKUP(Tabela1[[#This Row],[Cliente]],'BASE DE CLIENTES'!A:E,2,0)</f>
        <v>Brasília</v>
      </c>
      <c r="D6944" s="26" t="str">
        <f>VLOOKUP(Tabela1[[#This Row],[Cliente]],'BASE DE CLIENTES'!A:C,3,0)</f>
        <v>DF</v>
      </c>
      <c r="E6944" s="26" t="str">
        <f>CONCATENATE(Tabela1[[#This Row],[CIDADE]],",",Tabela1[[#This Row],[UF]])</f>
        <v>Brasília,DF</v>
      </c>
      <c r="F6944" s="12">
        <v>46216</v>
      </c>
      <c r="G6944" s="14">
        <v>419</v>
      </c>
      <c r="H6944" s="13">
        <v>800</v>
      </c>
      <c r="I6944" s="7">
        <f>Tabela1[[#This Row],[Valor total]]-Tabela1[[#This Row],[Valor custo]]</f>
        <v>381</v>
      </c>
      <c r="J6944" s="27">
        <f>Tabela1[[#This Row],[MARGEM BRUTA]]/Tabela1[[#This Row],[Valor total]]</f>
        <v>0.47625000000000001</v>
      </c>
      <c r="K6944" s="26" t="str">
        <f>VLOOKUP(Tabela1[[#This Row],[Cliente]],'BASE DE CLIENTES'!A:D,4,0)</f>
        <v>EMPRESA COM MAQUINA</v>
      </c>
      <c r="L6944" s="26" t="str">
        <f>VLOOKUP(Tabela1[[#This Row],[Cliente]],'BASE DE CLIENTES'!A:E,5,0)</f>
        <v>CEILANDIA NORTE (CEILANDIA)</v>
      </c>
    </row>
    <row r="6945" spans="2:12" x14ac:dyDescent="0.3">
      <c r="B6945" t="s">
        <v>262</v>
      </c>
      <c r="C6945" s="26" t="str">
        <f>VLOOKUP(Tabela1[[#This Row],[Cliente]],'BASE DE CLIENTES'!A:E,2,0)</f>
        <v>Brasília</v>
      </c>
      <c r="D6945" s="26" t="str">
        <f>VLOOKUP(Tabela1[[#This Row],[Cliente]],'BASE DE CLIENTES'!A:C,3,0)</f>
        <v>DF</v>
      </c>
      <c r="E6945" s="26" t="str">
        <f>CONCATENATE(Tabela1[[#This Row],[CIDADE]],",",Tabela1[[#This Row],[UF]])</f>
        <v>Brasília,DF</v>
      </c>
      <c r="F6945" s="12">
        <v>46216</v>
      </c>
      <c r="G6945" s="14">
        <v>110.71</v>
      </c>
      <c r="H6945" s="13">
        <v>250</v>
      </c>
      <c r="I6945" s="7">
        <f>Tabela1[[#This Row],[Valor total]]-Tabela1[[#This Row],[Valor custo]]</f>
        <v>139.29000000000002</v>
      </c>
      <c r="J6945" s="27">
        <f>Tabela1[[#This Row],[MARGEM BRUTA]]/Tabela1[[#This Row],[Valor total]]</f>
        <v>0.5571600000000001</v>
      </c>
      <c r="K6945" s="26" t="str">
        <f>VLOOKUP(Tabela1[[#This Row],[Cliente]],'BASE DE CLIENTES'!A:D,4,0)</f>
        <v>SERRALHEIRO</v>
      </c>
      <c r="L6945" s="26" t="str">
        <f>VLOOKUP(Tabela1[[#This Row],[Cliente]],'BASE DE CLIENTES'!A:E,5,0)</f>
        <v>SETOR INDUSTRIAL (TAGUATINGA)</v>
      </c>
    </row>
    <row r="6946" spans="2:12" x14ac:dyDescent="0.3">
      <c r="B6946" t="s">
        <v>80</v>
      </c>
      <c r="C6946" s="26" t="str">
        <f>VLOOKUP(Tabela1[[#This Row],[Cliente]],'BASE DE CLIENTES'!A:E,2,0)</f>
        <v>Brasília</v>
      </c>
      <c r="D6946" s="26" t="str">
        <f>VLOOKUP(Tabela1[[#This Row],[Cliente]],'BASE DE CLIENTES'!A:C,3,0)</f>
        <v>DF</v>
      </c>
      <c r="E6946" s="26" t="str">
        <f>CONCATENATE(Tabela1[[#This Row],[CIDADE]],",",Tabela1[[#This Row],[UF]])</f>
        <v>Brasília,DF</v>
      </c>
      <c r="F6946" s="12">
        <v>46216</v>
      </c>
      <c r="G6946" s="14">
        <v>670</v>
      </c>
      <c r="H6946" s="13">
        <v>1300</v>
      </c>
      <c r="I6946" s="7">
        <f>Tabela1[[#This Row],[Valor total]]-Tabela1[[#This Row],[Valor custo]]</f>
        <v>630</v>
      </c>
      <c r="J6946" s="27">
        <f>Tabela1[[#This Row],[MARGEM BRUTA]]/Tabela1[[#This Row],[Valor total]]</f>
        <v>0.48461538461538461</v>
      </c>
      <c r="K6946" s="26" t="str">
        <f>VLOOKUP(Tabela1[[#This Row],[Cliente]],'BASE DE CLIENTES'!A:D,4,0)</f>
        <v>EMPRESA SEM MAQUINA</v>
      </c>
      <c r="L6946" s="26" t="str">
        <f>VLOOKUP(Tabela1[[#This Row],[Cliente]],'BASE DE CLIENTES'!A:E,5,0)</f>
        <v>JOKEY</v>
      </c>
    </row>
    <row r="6947" spans="2:12" x14ac:dyDescent="0.3">
      <c r="B6947" t="s">
        <v>1223</v>
      </c>
      <c r="C6947" s="26" t="str">
        <f>VLOOKUP(Tabela1[[#This Row],[Cliente]],'BASE DE CLIENTES'!A:E,2,0)</f>
        <v>MERCADO LIVRE</v>
      </c>
      <c r="D6947" s="26" t="str">
        <f>VLOOKUP(Tabela1[[#This Row],[Cliente]],'BASE DE CLIENTES'!A:C,3,0)</f>
        <v>MERCADO LIVRE</v>
      </c>
      <c r="E6947" s="26" t="str">
        <f>CONCATENATE(Tabela1[[#This Row],[CIDADE]],",",Tabela1[[#This Row],[UF]])</f>
        <v>MERCADO LIVRE,MERCADO LIVRE</v>
      </c>
      <c r="F6947" s="12">
        <v>46216</v>
      </c>
      <c r="G6947" s="14">
        <v>56.28</v>
      </c>
      <c r="H6947" s="13">
        <v>198.93</v>
      </c>
      <c r="I6947" s="7">
        <f>Tabela1[[#This Row],[Valor total]]-Tabela1[[#This Row],[Valor custo]]</f>
        <v>142.65</v>
      </c>
      <c r="J6947" s="27">
        <f>Tabela1[[#This Row],[MARGEM BRUTA]]/Tabela1[[#This Row],[Valor total]]</f>
        <v>0.71708641230583625</v>
      </c>
      <c r="K6947" s="26" t="str">
        <f>VLOOKUP(Tabela1[[#This Row],[Cliente]],'BASE DE CLIENTES'!A:D,4,0)</f>
        <v>OUTROS RAMOS</v>
      </c>
      <c r="L6947" s="26" t="str">
        <f>VLOOKUP(Tabela1[[#This Row],[Cliente]],'BASE DE CLIENTES'!A:E,5,0)</f>
        <v>MERCADO LIVRE</v>
      </c>
    </row>
    <row r="6948" spans="2:12" x14ac:dyDescent="0.3">
      <c r="B6948" t="s">
        <v>1223</v>
      </c>
      <c r="C6948" s="26" t="str">
        <f>VLOOKUP(Tabela1[[#This Row],[Cliente]],'BASE DE CLIENTES'!A:E,2,0)</f>
        <v>MERCADO LIVRE</v>
      </c>
      <c r="D6948" s="26" t="str">
        <f>VLOOKUP(Tabela1[[#This Row],[Cliente]],'BASE DE CLIENTES'!A:C,3,0)</f>
        <v>MERCADO LIVRE</v>
      </c>
      <c r="E6948" s="26" t="str">
        <f>CONCATENATE(Tabela1[[#This Row],[CIDADE]],",",Tabela1[[#This Row],[UF]])</f>
        <v>MERCADO LIVRE,MERCADO LIVRE</v>
      </c>
      <c r="F6948" s="12">
        <v>46216</v>
      </c>
      <c r="G6948" s="14">
        <v>56.28</v>
      </c>
      <c r="H6948" s="13">
        <v>198.93</v>
      </c>
      <c r="I6948" s="7">
        <f>Tabela1[[#This Row],[Valor total]]-Tabela1[[#This Row],[Valor custo]]</f>
        <v>142.65</v>
      </c>
      <c r="J6948" s="27">
        <f>Tabela1[[#This Row],[MARGEM BRUTA]]/Tabela1[[#This Row],[Valor total]]</f>
        <v>0.71708641230583625</v>
      </c>
      <c r="K6948" s="26" t="str">
        <f>VLOOKUP(Tabela1[[#This Row],[Cliente]],'BASE DE CLIENTES'!A:D,4,0)</f>
        <v>OUTROS RAMOS</v>
      </c>
      <c r="L6948" s="26" t="str">
        <f>VLOOKUP(Tabela1[[#This Row],[Cliente]],'BASE DE CLIENTES'!A:E,5,0)</f>
        <v>MERCADO LIVRE</v>
      </c>
    </row>
    <row r="6949" spans="2:12" x14ac:dyDescent="0.3">
      <c r="B6949" t="s">
        <v>1223</v>
      </c>
      <c r="C6949" s="26" t="str">
        <f>VLOOKUP(Tabela1[[#This Row],[Cliente]],'BASE DE CLIENTES'!A:E,2,0)</f>
        <v>MERCADO LIVRE</v>
      </c>
      <c r="D6949" s="26" t="str">
        <f>VLOOKUP(Tabela1[[#This Row],[Cliente]],'BASE DE CLIENTES'!A:C,3,0)</f>
        <v>MERCADO LIVRE</v>
      </c>
      <c r="E6949" s="26" t="str">
        <f>CONCATENATE(Tabela1[[#This Row],[CIDADE]],",",Tabela1[[#This Row],[UF]])</f>
        <v>MERCADO LIVRE,MERCADO LIVRE</v>
      </c>
      <c r="F6949" s="12">
        <v>46216</v>
      </c>
      <c r="G6949" s="14">
        <v>56.28</v>
      </c>
      <c r="H6949" s="13">
        <v>198.93</v>
      </c>
      <c r="I6949" s="7">
        <f>Tabela1[[#This Row],[Valor total]]-Tabela1[[#This Row],[Valor custo]]</f>
        <v>142.65</v>
      </c>
      <c r="J6949" s="27">
        <f>Tabela1[[#This Row],[MARGEM BRUTA]]/Tabela1[[#This Row],[Valor total]]</f>
        <v>0.71708641230583625</v>
      </c>
      <c r="K6949" s="26" t="str">
        <f>VLOOKUP(Tabela1[[#This Row],[Cliente]],'BASE DE CLIENTES'!A:D,4,0)</f>
        <v>OUTROS RAMOS</v>
      </c>
      <c r="L6949" s="26" t="str">
        <f>VLOOKUP(Tabela1[[#This Row],[Cliente]],'BASE DE CLIENTES'!A:E,5,0)</f>
        <v>MERCADO LIVRE</v>
      </c>
    </row>
    <row r="6950" spans="2:12" x14ac:dyDescent="0.3">
      <c r="B6950" t="s">
        <v>1223</v>
      </c>
      <c r="C6950" s="26" t="str">
        <f>VLOOKUP(Tabela1[[#This Row],[Cliente]],'BASE DE CLIENTES'!A:E,2,0)</f>
        <v>MERCADO LIVRE</v>
      </c>
      <c r="D6950" s="26" t="str">
        <f>VLOOKUP(Tabela1[[#This Row],[Cliente]],'BASE DE CLIENTES'!A:C,3,0)</f>
        <v>MERCADO LIVRE</v>
      </c>
      <c r="E6950" s="26" t="str">
        <f>CONCATENATE(Tabela1[[#This Row],[CIDADE]],",",Tabela1[[#This Row],[UF]])</f>
        <v>MERCADO LIVRE,MERCADO LIVRE</v>
      </c>
      <c r="F6950" s="12">
        <v>46216</v>
      </c>
      <c r="G6950" s="14">
        <v>15.34</v>
      </c>
      <c r="H6950" s="13">
        <v>12.69</v>
      </c>
      <c r="I6950" s="7">
        <f>Tabela1[[#This Row],[Valor total]]-Tabela1[[#This Row],[Valor custo]]</f>
        <v>-2.6500000000000004</v>
      </c>
      <c r="J6950" s="27">
        <f>Tabela1[[#This Row],[MARGEM BRUTA]]/Tabela1[[#This Row],[Valor total]]</f>
        <v>-0.20882584712371949</v>
      </c>
      <c r="K6950" s="26" t="str">
        <f>VLOOKUP(Tabela1[[#This Row],[Cliente]],'BASE DE CLIENTES'!A:D,4,0)</f>
        <v>OUTROS RAMOS</v>
      </c>
      <c r="L6950" s="26" t="str">
        <f>VLOOKUP(Tabela1[[#This Row],[Cliente]],'BASE DE CLIENTES'!A:E,5,0)</f>
        <v>MERCADO LIVRE</v>
      </c>
    </row>
    <row r="6951" spans="2:12" x14ac:dyDescent="0.3">
      <c r="B6951" t="s">
        <v>1223</v>
      </c>
      <c r="C6951" s="26" t="str">
        <f>VLOOKUP(Tabela1[[#This Row],[Cliente]],'BASE DE CLIENTES'!A:E,2,0)</f>
        <v>MERCADO LIVRE</v>
      </c>
      <c r="D6951" s="26" t="str">
        <f>VLOOKUP(Tabela1[[#This Row],[Cliente]],'BASE DE CLIENTES'!A:C,3,0)</f>
        <v>MERCADO LIVRE</v>
      </c>
      <c r="E6951" s="26" t="str">
        <f>CONCATENATE(Tabela1[[#This Row],[CIDADE]],",",Tabela1[[#This Row],[UF]])</f>
        <v>MERCADO LIVRE,MERCADO LIVRE</v>
      </c>
      <c r="F6951" s="12">
        <v>46216</v>
      </c>
      <c r="G6951" s="14">
        <v>0</v>
      </c>
      <c r="H6951" s="13">
        <v>43.07</v>
      </c>
      <c r="I6951" s="7">
        <f>Tabela1[[#This Row],[Valor total]]-Tabela1[[#This Row],[Valor custo]]</f>
        <v>43.07</v>
      </c>
      <c r="J6951" s="27">
        <f>Tabela1[[#This Row],[MARGEM BRUTA]]/Tabela1[[#This Row],[Valor total]]</f>
        <v>1</v>
      </c>
      <c r="K6951" s="26" t="str">
        <f>VLOOKUP(Tabela1[[#This Row],[Cliente]],'BASE DE CLIENTES'!A:D,4,0)</f>
        <v>OUTROS RAMOS</v>
      </c>
      <c r="L6951" s="26" t="str">
        <f>VLOOKUP(Tabela1[[#This Row],[Cliente]],'BASE DE CLIENTES'!A:E,5,0)</f>
        <v>MERCADO LIVRE</v>
      </c>
    </row>
    <row r="6952" spans="2:12" x14ac:dyDescent="0.3">
      <c r="B6952" t="s">
        <v>1223</v>
      </c>
      <c r="C6952" s="26" t="str">
        <f>VLOOKUP(Tabela1[[#This Row],[Cliente]],'BASE DE CLIENTES'!A:E,2,0)</f>
        <v>MERCADO LIVRE</v>
      </c>
      <c r="D6952" s="26" t="str">
        <f>VLOOKUP(Tabela1[[#This Row],[Cliente]],'BASE DE CLIENTES'!A:C,3,0)</f>
        <v>MERCADO LIVRE</v>
      </c>
      <c r="E6952" s="26" t="str">
        <f>CONCATENATE(Tabela1[[#This Row],[CIDADE]],",",Tabela1[[#This Row],[UF]])</f>
        <v>MERCADO LIVRE,MERCADO LIVRE</v>
      </c>
      <c r="F6952" s="12">
        <v>46216</v>
      </c>
      <c r="G6952" s="14">
        <v>0</v>
      </c>
      <c r="H6952" s="13">
        <v>23.99</v>
      </c>
      <c r="I6952" s="7">
        <f>Tabela1[[#This Row],[Valor total]]-Tabela1[[#This Row],[Valor custo]]</f>
        <v>23.99</v>
      </c>
      <c r="J6952" s="27">
        <f>Tabela1[[#This Row],[MARGEM BRUTA]]/Tabela1[[#This Row],[Valor total]]</f>
        <v>1</v>
      </c>
      <c r="K6952" s="26" t="str">
        <f>VLOOKUP(Tabela1[[#This Row],[Cliente]],'BASE DE CLIENTES'!A:D,4,0)</f>
        <v>OUTROS RAMOS</v>
      </c>
      <c r="L6952" s="26" t="str">
        <f>VLOOKUP(Tabela1[[#This Row],[Cliente]],'BASE DE CLIENTES'!A:E,5,0)</f>
        <v>MERCADO LIVRE</v>
      </c>
    </row>
    <row r="6953" spans="2:12" x14ac:dyDescent="0.3">
      <c r="B6953" t="s">
        <v>1223</v>
      </c>
      <c r="C6953" s="26" t="str">
        <f>VLOOKUP(Tabela1[[#This Row],[Cliente]],'BASE DE CLIENTES'!A:E,2,0)</f>
        <v>MERCADO LIVRE</v>
      </c>
      <c r="D6953" s="26" t="str">
        <f>VLOOKUP(Tabela1[[#This Row],[Cliente]],'BASE DE CLIENTES'!A:C,3,0)</f>
        <v>MERCADO LIVRE</v>
      </c>
      <c r="E6953" s="26" t="str">
        <f>CONCATENATE(Tabela1[[#This Row],[CIDADE]],",",Tabela1[[#This Row],[UF]])</f>
        <v>MERCADO LIVRE,MERCADO LIVRE</v>
      </c>
      <c r="F6953" s="12">
        <v>46216</v>
      </c>
      <c r="G6953" s="14">
        <v>33.56</v>
      </c>
      <c r="H6953" s="13">
        <v>47.92</v>
      </c>
      <c r="I6953" s="7">
        <f>Tabela1[[#This Row],[Valor total]]-Tabela1[[#This Row],[Valor custo]]</f>
        <v>14.36</v>
      </c>
      <c r="J6953" s="27">
        <f>Tabela1[[#This Row],[MARGEM BRUTA]]/Tabela1[[#This Row],[Valor total]]</f>
        <v>0.29966611018363937</v>
      </c>
      <c r="K6953" s="26" t="str">
        <f>VLOOKUP(Tabela1[[#This Row],[Cliente]],'BASE DE CLIENTES'!A:D,4,0)</f>
        <v>OUTROS RAMOS</v>
      </c>
      <c r="L6953" s="26" t="str">
        <f>VLOOKUP(Tabela1[[#This Row],[Cliente]],'BASE DE CLIENTES'!A:E,5,0)</f>
        <v>MERCADO LIVRE</v>
      </c>
    </row>
    <row r="6954" spans="2:12" x14ac:dyDescent="0.3">
      <c r="B6954" t="s">
        <v>154</v>
      </c>
      <c r="C6954" s="26" t="str">
        <f>VLOOKUP(Tabela1[[#This Row],[Cliente]],'BASE DE CLIENTES'!A:E,2,0)</f>
        <v>Aparecida de Goiânia</v>
      </c>
      <c r="D6954" s="26" t="str">
        <f>VLOOKUP(Tabela1[[#This Row],[Cliente]],'BASE DE CLIENTES'!A:C,3,0)</f>
        <v>GO</v>
      </c>
      <c r="E6954" s="26" t="str">
        <f>CONCATENATE(Tabela1[[#This Row],[CIDADE]],",",Tabela1[[#This Row],[UF]])</f>
        <v>Aparecida de Goiânia,GO</v>
      </c>
      <c r="F6954" s="12">
        <v>46216</v>
      </c>
      <c r="G6954" s="14">
        <v>33833.97</v>
      </c>
      <c r="H6954" s="13">
        <v>50000</v>
      </c>
      <c r="I6954" s="7">
        <f>Tabela1[[#This Row],[Valor total]]-Tabela1[[#This Row],[Valor custo]]</f>
        <v>16166.029999999999</v>
      </c>
      <c r="J6954" s="27">
        <f>Tabela1[[#This Row],[MARGEM BRUTA]]/Tabela1[[#This Row],[Valor total]]</f>
        <v>0.32332059999999996</v>
      </c>
      <c r="K6954" s="26" t="str">
        <f>VLOOKUP(Tabela1[[#This Row],[Cliente]],'BASE DE CLIENTES'!A:D,4,0)</f>
        <v>TECNICO</v>
      </c>
      <c r="L6954" s="26" t="str">
        <f>VLOOKUP(Tabela1[[#This Row],[Cliente]],'BASE DE CLIENTES'!A:E,5,0)</f>
        <v>Aparecida de Goiânia</v>
      </c>
    </row>
    <row r="6955" spans="2:12" x14ac:dyDescent="0.3">
      <c r="B6955" t="s">
        <v>1223</v>
      </c>
      <c r="C6955" s="26" t="str">
        <f>VLOOKUP(Tabela1[[#This Row],[Cliente]],'BASE DE CLIENTES'!A:E,2,0)</f>
        <v>MERCADO LIVRE</v>
      </c>
      <c r="D6955" s="26" t="str">
        <f>VLOOKUP(Tabela1[[#This Row],[Cliente]],'BASE DE CLIENTES'!A:C,3,0)</f>
        <v>MERCADO LIVRE</v>
      </c>
      <c r="E6955" s="26" t="str">
        <f>CONCATENATE(Tabela1[[#This Row],[CIDADE]],",",Tabela1[[#This Row],[UF]])</f>
        <v>MERCADO LIVRE,MERCADO LIVRE</v>
      </c>
      <c r="F6955" s="12">
        <v>46216</v>
      </c>
      <c r="G6955" s="14">
        <v>15.34</v>
      </c>
      <c r="H6955" s="13">
        <v>12.69</v>
      </c>
      <c r="I6955" s="7">
        <f>Tabela1[[#This Row],[Valor total]]-Tabela1[[#This Row],[Valor custo]]</f>
        <v>-2.6500000000000004</v>
      </c>
      <c r="J6955" s="27">
        <f>Tabela1[[#This Row],[MARGEM BRUTA]]/Tabela1[[#This Row],[Valor total]]</f>
        <v>-0.20882584712371949</v>
      </c>
      <c r="K6955" s="26" t="str">
        <f>VLOOKUP(Tabela1[[#This Row],[Cliente]],'BASE DE CLIENTES'!A:D,4,0)</f>
        <v>OUTROS RAMOS</v>
      </c>
      <c r="L6955" s="26" t="str">
        <f>VLOOKUP(Tabela1[[#This Row],[Cliente]],'BASE DE CLIENTES'!A:E,5,0)</f>
        <v>MERCADO LIVRE</v>
      </c>
    </row>
    <row r="6956" spans="2:12" x14ac:dyDescent="0.3">
      <c r="B6956" t="s">
        <v>1223</v>
      </c>
      <c r="C6956" s="26" t="str">
        <f>VLOOKUP(Tabela1[[#This Row],[Cliente]],'BASE DE CLIENTES'!A:E,2,0)</f>
        <v>MERCADO LIVRE</v>
      </c>
      <c r="D6956" s="26" t="str">
        <f>VLOOKUP(Tabela1[[#This Row],[Cliente]],'BASE DE CLIENTES'!A:C,3,0)</f>
        <v>MERCADO LIVRE</v>
      </c>
      <c r="E6956" s="26" t="str">
        <f>CONCATENATE(Tabela1[[#This Row],[CIDADE]],",",Tabela1[[#This Row],[UF]])</f>
        <v>MERCADO LIVRE,MERCADO LIVRE</v>
      </c>
      <c r="F6956" s="12">
        <v>46216</v>
      </c>
      <c r="G6956" s="14">
        <v>15.34</v>
      </c>
      <c r="H6956" s="13">
        <v>12.69</v>
      </c>
      <c r="I6956" s="7">
        <f>Tabela1[[#This Row],[Valor total]]-Tabela1[[#This Row],[Valor custo]]</f>
        <v>-2.6500000000000004</v>
      </c>
      <c r="J6956" s="27">
        <f>Tabela1[[#This Row],[MARGEM BRUTA]]/Tabela1[[#This Row],[Valor total]]</f>
        <v>-0.20882584712371949</v>
      </c>
      <c r="K6956" s="26" t="str">
        <f>VLOOKUP(Tabela1[[#This Row],[Cliente]],'BASE DE CLIENTES'!A:D,4,0)</f>
        <v>OUTROS RAMOS</v>
      </c>
      <c r="L6956" s="26" t="str">
        <f>VLOOKUP(Tabela1[[#This Row],[Cliente]],'BASE DE CLIENTES'!A:E,5,0)</f>
        <v>MERCADO LIVRE</v>
      </c>
    </row>
    <row r="6957" spans="2:12" x14ac:dyDescent="0.3">
      <c r="B6957" t="s">
        <v>1223</v>
      </c>
      <c r="C6957" s="26" t="str">
        <f>VLOOKUP(Tabela1[[#This Row],[Cliente]],'BASE DE CLIENTES'!A:E,2,0)</f>
        <v>MERCADO LIVRE</v>
      </c>
      <c r="D6957" s="26" t="str">
        <f>VLOOKUP(Tabela1[[#This Row],[Cliente]],'BASE DE CLIENTES'!A:C,3,0)</f>
        <v>MERCADO LIVRE</v>
      </c>
      <c r="E6957" s="26" t="str">
        <f>CONCATENATE(Tabela1[[#This Row],[CIDADE]],",",Tabela1[[#This Row],[UF]])</f>
        <v>MERCADO LIVRE,MERCADO LIVRE</v>
      </c>
      <c r="F6957" s="12">
        <v>46216</v>
      </c>
      <c r="G6957" s="14">
        <v>15.34</v>
      </c>
      <c r="H6957" s="13">
        <v>12.69</v>
      </c>
      <c r="I6957" s="7">
        <f>Tabela1[[#This Row],[Valor total]]-Tabela1[[#This Row],[Valor custo]]</f>
        <v>-2.6500000000000004</v>
      </c>
      <c r="J6957" s="27">
        <f>Tabela1[[#This Row],[MARGEM BRUTA]]/Tabela1[[#This Row],[Valor total]]</f>
        <v>-0.20882584712371949</v>
      </c>
      <c r="K6957" s="26" t="str">
        <f>VLOOKUP(Tabela1[[#This Row],[Cliente]],'BASE DE CLIENTES'!A:D,4,0)</f>
        <v>OUTROS RAMOS</v>
      </c>
      <c r="L6957" s="26" t="str">
        <f>VLOOKUP(Tabela1[[#This Row],[Cliente]],'BASE DE CLIENTES'!A:E,5,0)</f>
        <v>MERCADO LIVRE</v>
      </c>
    </row>
    <row r="6958" spans="2:12" x14ac:dyDescent="0.3">
      <c r="B6958" t="s">
        <v>52</v>
      </c>
      <c r="C6958" s="26" t="str">
        <f>VLOOKUP(Tabela1[[#This Row],[Cliente]],'BASE DE CLIENTES'!A:E,2,0)</f>
        <v>Brasília</v>
      </c>
      <c r="D6958" s="26" t="str">
        <f>VLOOKUP(Tabela1[[#This Row],[Cliente]],'BASE DE CLIENTES'!A:C,3,0)</f>
        <v>DF</v>
      </c>
      <c r="E6958" s="26" t="str">
        <f>CONCATENATE(Tabela1[[#This Row],[CIDADE]],",",Tabela1[[#This Row],[UF]])</f>
        <v>Brasília,DF</v>
      </c>
      <c r="F6958" s="12">
        <v>46213</v>
      </c>
      <c r="G6958" s="14">
        <v>838</v>
      </c>
      <c r="H6958" s="13">
        <v>1400</v>
      </c>
      <c r="I6958" s="7">
        <f>Tabela1[[#This Row],[Valor total]]-Tabela1[[#This Row],[Valor custo]]</f>
        <v>562</v>
      </c>
      <c r="J6958" s="27">
        <f>Tabela1[[#This Row],[MARGEM BRUTA]]/Tabela1[[#This Row],[Valor total]]</f>
        <v>0.40142857142857141</v>
      </c>
      <c r="K6958" s="26" t="str">
        <f>VLOOKUP(Tabela1[[#This Row],[Cliente]],'BASE DE CLIENTES'!A:D,4,0)</f>
        <v>SERRALHEIRO</v>
      </c>
      <c r="L6958" s="26" t="str">
        <f>VLOOKUP(Tabela1[[#This Row],[Cliente]],'BASE DE CLIENTES'!A:E,5,0)</f>
        <v>Ceilândia Sul (Ceilândia)</v>
      </c>
    </row>
    <row r="6959" spans="2:12" x14ac:dyDescent="0.3">
      <c r="B6959" t="s">
        <v>38</v>
      </c>
      <c r="C6959" s="26" t="str">
        <f>VLOOKUP(Tabela1[[#This Row],[Cliente]],'BASE DE CLIENTES'!A:E,2,0)</f>
        <v>Brasília</v>
      </c>
      <c r="D6959" s="26" t="str">
        <f>VLOOKUP(Tabela1[[#This Row],[Cliente]],'BASE DE CLIENTES'!A:C,3,0)</f>
        <v>DF</v>
      </c>
      <c r="E6959" s="26" t="str">
        <f>CONCATENATE(Tabela1[[#This Row],[CIDADE]],",",Tabela1[[#This Row],[UF]])</f>
        <v>Brasília,DF</v>
      </c>
      <c r="F6959" s="12">
        <v>46213</v>
      </c>
      <c r="G6959" s="14">
        <v>56.28</v>
      </c>
      <c r="H6959" s="13">
        <v>150</v>
      </c>
      <c r="I6959" s="7">
        <f>Tabela1[[#This Row],[Valor total]]-Tabela1[[#This Row],[Valor custo]]</f>
        <v>93.72</v>
      </c>
      <c r="J6959" s="27">
        <f>Tabela1[[#This Row],[MARGEM BRUTA]]/Tabela1[[#This Row],[Valor total]]</f>
        <v>0.62480000000000002</v>
      </c>
      <c r="K6959" s="26" t="str">
        <f>VLOOKUP(Tabela1[[#This Row],[Cliente]],'BASE DE CLIENTES'!A:D,4,0)</f>
        <v>EMPRESA SEM MAQUINA</v>
      </c>
      <c r="L6959" s="26" t="str">
        <f>VLOOKUP(Tabela1[[#This Row],[Cliente]],'BASE DE CLIENTES'!A:E,5,0)</f>
        <v>PONTE ALTA NORTE (GAMA)</v>
      </c>
    </row>
    <row r="6960" spans="2:12" x14ac:dyDescent="0.3">
      <c r="B6960" t="s">
        <v>66</v>
      </c>
      <c r="C6960" s="26" t="str">
        <f>VLOOKUP(Tabela1[[#This Row],[Cliente]],'BASE DE CLIENTES'!A:E,2,0)</f>
        <v>Águas Lindas de Goiás</v>
      </c>
      <c r="D6960" s="26" t="str">
        <f>VLOOKUP(Tabela1[[#This Row],[Cliente]],'BASE DE CLIENTES'!A:C,3,0)</f>
        <v>GO</v>
      </c>
      <c r="E6960" s="26" t="str">
        <f>CONCATENATE(Tabela1[[#This Row],[CIDADE]],",",Tabela1[[#This Row],[UF]])</f>
        <v>Águas Lindas de Goiás,GO</v>
      </c>
      <c r="F6960" s="12">
        <v>46213</v>
      </c>
      <c r="G6960" s="14">
        <v>1218</v>
      </c>
      <c r="H6960" s="13">
        <v>1870</v>
      </c>
      <c r="I6960" s="7">
        <f>Tabela1[[#This Row],[Valor total]]-Tabela1[[#This Row],[Valor custo]]</f>
        <v>652</v>
      </c>
      <c r="J6960" s="27">
        <f>Tabela1[[#This Row],[MARGEM BRUTA]]/Tabela1[[#This Row],[Valor total]]</f>
        <v>0.34866310160427805</v>
      </c>
      <c r="K6960" s="26" t="str">
        <f>VLOOKUP(Tabela1[[#This Row],[Cliente]],'BASE DE CLIENTES'!A:D,4,0)</f>
        <v>EMPRESA COM MAQUINA</v>
      </c>
      <c r="L6960" s="26" t="str">
        <f>VLOOKUP(Tabela1[[#This Row],[Cliente]],'BASE DE CLIENTES'!A:E,5,0)</f>
        <v>Águas Lindas de Goiás</v>
      </c>
    </row>
    <row r="6961" spans="2:12" x14ac:dyDescent="0.3">
      <c r="B6961" t="s">
        <v>108</v>
      </c>
      <c r="C6961" s="26" t="str">
        <f>VLOOKUP(Tabela1[[#This Row],[Cliente]],'BASE DE CLIENTES'!A:E,2,0)</f>
        <v>Brasília</v>
      </c>
      <c r="D6961" s="26" t="str">
        <f>VLOOKUP(Tabela1[[#This Row],[Cliente]],'BASE DE CLIENTES'!A:C,3,0)</f>
        <v>DF</v>
      </c>
      <c r="E6961" s="26" t="str">
        <f>CONCATENATE(Tabela1[[#This Row],[CIDADE]],",",Tabela1[[#This Row],[UF]])</f>
        <v>Brasília,DF</v>
      </c>
      <c r="F6961" s="12">
        <v>46213</v>
      </c>
      <c r="G6961" s="14">
        <v>56.28</v>
      </c>
      <c r="H6961" s="13">
        <v>150</v>
      </c>
      <c r="I6961" s="7">
        <f>Tabela1[[#This Row],[Valor total]]-Tabela1[[#This Row],[Valor custo]]</f>
        <v>93.72</v>
      </c>
      <c r="J6961" s="27">
        <f>Tabela1[[#This Row],[MARGEM BRUTA]]/Tabela1[[#This Row],[Valor total]]</f>
        <v>0.62480000000000002</v>
      </c>
      <c r="K6961" s="26" t="str">
        <f>VLOOKUP(Tabela1[[#This Row],[Cliente]],'BASE DE CLIENTES'!A:D,4,0)</f>
        <v>SERRALHEIRO</v>
      </c>
      <c r="L6961" s="26" t="str">
        <f>VLOOKUP(Tabela1[[#This Row],[Cliente]],'BASE DE CLIENTES'!A:E,5,0)</f>
        <v>Vila Planalto</v>
      </c>
    </row>
    <row r="6962" spans="2:12" x14ac:dyDescent="0.3">
      <c r="B6962" t="s">
        <v>15</v>
      </c>
      <c r="C6962" s="26" t="str">
        <f>VLOOKUP(Tabela1[[#This Row],[Cliente]],'BASE DE CLIENTES'!A:E,2,0)</f>
        <v>Brasília</v>
      </c>
      <c r="D6962" s="26" t="str">
        <f>VLOOKUP(Tabela1[[#This Row],[Cliente]],'BASE DE CLIENTES'!A:C,3,0)</f>
        <v>DF</v>
      </c>
      <c r="E6962" s="26" t="str">
        <f>CONCATENATE(Tabela1[[#This Row],[CIDADE]],",",Tabela1[[#This Row],[UF]])</f>
        <v>Brasília,DF</v>
      </c>
      <c r="F6962" s="12">
        <v>46213</v>
      </c>
      <c r="G6962" s="14">
        <v>380</v>
      </c>
      <c r="H6962" s="13">
        <v>645</v>
      </c>
      <c r="I6962" s="7">
        <f>Tabela1[[#This Row],[Valor total]]-Tabela1[[#This Row],[Valor custo]]</f>
        <v>265</v>
      </c>
      <c r="J6962" s="27">
        <f>Tabela1[[#This Row],[MARGEM BRUTA]]/Tabela1[[#This Row],[Valor total]]</f>
        <v>0.41085271317829458</v>
      </c>
      <c r="K6962" s="26" t="str">
        <f>VLOOKUP(Tabela1[[#This Row],[Cliente]],'BASE DE CLIENTES'!A:D,4,0)</f>
        <v>SERRALHEIRO</v>
      </c>
      <c r="L6962" s="26" t="str">
        <f>VLOOKUP(Tabela1[[#This Row],[Cliente]],'BASE DE CLIENTES'!A:E,5,0)</f>
        <v>SETOR HABITACIONAL VICENTE PIRES</v>
      </c>
    </row>
    <row r="6963" spans="2:12" x14ac:dyDescent="0.3">
      <c r="B6963" t="s">
        <v>111</v>
      </c>
      <c r="C6963" s="26" t="str">
        <f>VLOOKUP(Tabela1[[#This Row],[Cliente]],'BASE DE CLIENTES'!A:E,2,0)</f>
        <v>Brasília</v>
      </c>
      <c r="D6963" s="26" t="str">
        <f>VLOOKUP(Tabela1[[#This Row],[Cliente]],'BASE DE CLIENTES'!A:C,3,0)</f>
        <v>DF</v>
      </c>
      <c r="E6963" s="26" t="str">
        <f>CONCATENATE(Tabela1[[#This Row],[CIDADE]],",",Tabela1[[#This Row],[UF]])</f>
        <v>Brasília,DF</v>
      </c>
      <c r="F6963" s="12">
        <v>46213</v>
      </c>
      <c r="G6963" s="14">
        <v>380</v>
      </c>
      <c r="H6963" s="13">
        <v>615</v>
      </c>
      <c r="I6963" s="7">
        <f>Tabela1[[#This Row],[Valor total]]-Tabela1[[#This Row],[Valor custo]]</f>
        <v>235</v>
      </c>
      <c r="J6963" s="27">
        <f>Tabela1[[#This Row],[MARGEM BRUTA]]/Tabela1[[#This Row],[Valor total]]</f>
        <v>0.38211382113821141</v>
      </c>
      <c r="K6963" s="26" t="str">
        <f>VLOOKUP(Tabela1[[#This Row],[Cliente]],'BASE DE CLIENTES'!A:D,4,0)</f>
        <v>EMPRESA SEM MAQUINA</v>
      </c>
      <c r="L6963" s="26" t="str">
        <f>VLOOKUP(Tabela1[[#This Row],[Cliente]],'BASE DE CLIENTES'!A:E,5,0)</f>
        <v>TAGUATINGA SUL (TAGUATINGA)</v>
      </c>
    </row>
    <row r="6964" spans="2:12" x14ac:dyDescent="0.3">
      <c r="B6964" t="s">
        <v>120</v>
      </c>
      <c r="C6964" s="26" t="str">
        <f>VLOOKUP(Tabela1[[#This Row],[Cliente]],'BASE DE CLIENTES'!A:E,2,0)</f>
        <v>Brasília</v>
      </c>
      <c r="D6964" s="26" t="str">
        <f>VLOOKUP(Tabela1[[#This Row],[Cliente]],'BASE DE CLIENTES'!A:C,3,0)</f>
        <v>DF</v>
      </c>
      <c r="E6964" s="26" t="str">
        <f>CONCATENATE(Tabela1[[#This Row],[CIDADE]],",",Tabela1[[#This Row],[UF]])</f>
        <v>Brasília,DF</v>
      </c>
      <c r="F6964" s="12">
        <v>46213</v>
      </c>
      <c r="G6964" s="14">
        <v>546.79</v>
      </c>
      <c r="H6964" s="13">
        <v>870</v>
      </c>
      <c r="I6964" s="7">
        <f>Tabela1[[#This Row],[Valor total]]-Tabela1[[#This Row],[Valor custo]]</f>
        <v>323.21000000000004</v>
      </c>
      <c r="J6964" s="27">
        <f>Tabela1[[#This Row],[MARGEM BRUTA]]/Tabela1[[#This Row],[Valor total]]</f>
        <v>0.3715057471264368</v>
      </c>
      <c r="K6964" s="26" t="str">
        <f>VLOOKUP(Tabela1[[#This Row],[Cliente]],'BASE DE CLIENTES'!A:D,4,0)</f>
        <v>EMPRESA SEM MAQUINA</v>
      </c>
      <c r="L6964" s="26" t="str">
        <f>VLOOKUP(Tabela1[[#This Row],[Cliente]],'BASE DE CLIENTES'!A:E,5,0)</f>
        <v>SAMAMBAIA</v>
      </c>
    </row>
    <row r="6965" spans="2:12" x14ac:dyDescent="0.3">
      <c r="B6965" t="s">
        <v>253</v>
      </c>
      <c r="C6965" s="26" t="str">
        <f>VLOOKUP(Tabela1[[#This Row],[Cliente]],'BASE DE CLIENTES'!A:E,2,0)</f>
        <v>Luziânia</v>
      </c>
      <c r="D6965" s="26" t="str">
        <f>VLOOKUP(Tabela1[[#This Row],[Cliente]],'BASE DE CLIENTES'!A:C,3,0)</f>
        <v>GO</v>
      </c>
      <c r="E6965" s="26" t="str">
        <f>CONCATENATE(Tabela1[[#This Row],[CIDADE]],",",Tabela1[[#This Row],[UF]])</f>
        <v>Luziânia,GO</v>
      </c>
      <c r="F6965" s="12">
        <v>46213</v>
      </c>
      <c r="G6965" s="14">
        <v>1703.28</v>
      </c>
      <c r="H6965" s="13">
        <v>2410</v>
      </c>
      <c r="I6965" s="7">
        <f>Tabela1[[#This Row],[Valor total]]-Tabela1[[#This Row],[Valor custo]]</f>
        <v>706.72</v>
      </c>
      <c r="J6965" s="27">
        <f>Tabela1[[#This Row],[MARGEM BRUTA]]/Tabela1[[#This Row],[Valor total]]</f>
        <v>0.29324481327800833</v>
      </c>
      <c r="K6965" s="26" t="str">
        <f>VLOOKUP(Tabela1[[#This Row],[Cliente]],'BASE DE CLIENTES'!A:D,4,0)</f>
        <v>EMPRESA COM MAQUINA</v>
      </c>
      <c r="L6965" s="26" t="str">
        <f>VLOOKUP(Tabela1[[#This Row],[Cliente]],'BASE DE CLIENTES'!A:E,5,0)</f>
        <v>Luziânia</v>
      </c>
    </row>
    <row r="6966" spans="2:12" x14ac:dyDescent="0.3">
      <c r="B6966" t="s">
        <v>68</v>
      </c>
      <c r="C6966" s="26" t="str">
        <f>VLOOKUP(Tabela1[[#This Row],[Cliente]],'BASE DE CLIENTES'!A:E,2,0)</f>
        <v>Brasília</v>
      </c>
      <c r="D6966" s="26" t="str">
        <f>VLOOKUP(Tabela1[[#This Row],[Cliente]],'BASE DE CLIENTES'!A:C,3,0)</f>
        <v>DF</v>
      </c>
      <c r="E6966" s="26" t="str">
        <f>CONCATENATE(Tabela1[[#This Row],[CIDADE]],",",Tabela1[[#This Row],[UF]])</f>
        <v>Brasília,DF</v>
      </c>
      <c r="F6966" s="12">
        <v>46213</v>
      </c>
      <c r="G6966" s="14">
        <v>175</v>
      </c>
      <c r="H6966" s="13">
        <v>230</v>
      </c>
      <c r="I6966" s="7">
        <f>Tabela1[[#This Row],[Valor total]]-Tabela1[[#This Row],[Valor custo]]</f>
        <v>55</v>
      </c>
      <c r="J6966" s="27">
        <f>Tabela1[[#This Row],[MARGEM BRUTA]]/Tabela1[[#This Row],[Valor total]]</f>
        <v>0.2391304347826087</v>
      </c>
      <c r="K6966" s="26" t="str">
        <f>VLOOKUP(Tabela1[[#This Row],[Cliente]],'BASE DE CLIENTES'!A:D,4,0)</f>
        <v>EMPRESA COM MAQUINA</v>
      </c>
      <c r="L6966" s="26" t="str">
        <f>VLOOKUP(Tabela1[[#This Row],[Cliente]],'BASE DE CLIENTES'!A:E,5,0)</f>
        <v>SAMAMBAIA SUL (SAMAMBAIA)</v>
      </c>
    </row>
    <row r="6967" spans="2:12" x14ac:dyDescent="0.3">
      <c r="B6967" t="s">
        <v>92</v>
      </c>
      <c r="C6967" s="26" t="str">
        <f>VLOOKUP(Tabela1[[#This Row],[Cliente]],'BASE DE CLIENTES'!A:E,2,0)</f>
        <v>Brasília</v>
      </c>
      <c r="D6967" s="26" t="str">
        <f>VLOOKUP(Tabela1[[#This Row],[Cliente]],'BASE DE CLIENTES'!A:C,3,0)</f>
        <v>DF</v>
      </c>
      <c r="E6967" s="26" t="str">
        <f>CONCATENATE(Tabela1[[#This Row],[CIDADE]],",",Tabela1[[#This Row],[UF]])</f>
        <v>Brasília,DF</v>
      </c>
      <c r="F6967" s="12">
        <v>46213</v>
      </c>
      <c r="G6967" s="14">
        <v>880</v>
      </c>
      <c r="H6967" s="13">
        <v>1200</v>
      </c>
      <c r="I6967" s="7">
        <f>Tabela1[[#This Row],[Valor total]]-Tabela1[[#This Row],[Valor custo]]</f>
        <v>320</v>
      </c>
      <c r="J6967" s="27">
        <f>Tabela1[[#This Row],[MARGEM BRUTA]]/Tabela1[[#This Row],[Valor total]]</f>
        <v>0.26666666666666666</v>
      </c>
      <c r="K6967" s="26" t="str">
        <f>VLOOKUP(Tabela1[[#This Row],[Cliente]],'BASE DE CLIENTES'!A:D,4,0)</f>
        <v>EMPRESA SEM MAQUINA</v>
      </c>
      <c r="L6967" s="26" t="str">
        <f>VLOOKUP(Tabela1[[#This Row],[Cliente]],'BASE DE CLIENTES'!A:E,5,0)</f>
        <v>SOBRADINHO</v>
      </c>
    </row>
    <row r="6968" spans="2:12" x14ac:dyDescent="0.3">
      <c r="B6968" t="s">
        <v>117</v>
      </c>
      <c r="C6968" s="26" t="str">
        <f>VLOOKUP(Tabela1[[#This Row],[Cliente]],'BASE DE CLIENTES'!A:E,2,0)</f>
        <v>Brasília</v>
      </c>
      <c r="D6968" s="26" t="str">
        <f>VLOOKUP(Tabela1[[#This Row],[Cliente]],'BASE DE CLIENTES'!A:C,3,0)</f>
        <v>DF</v>
      </c>
      <c r="E6968" s="26" t="str">
        <f>CONCATENATE(Tabela1[[#This Row],[CIDADE]],",",Tabela1[[#This Row],[UF]])</f>
        <v>Brasília,DF</v>
      </c>
      <c r="F6968" s="12">
        <v>46213</v>
      </c>
      <c r="G6968" s="14">
        <v>1679</v>
      </c>
      <c r="H6968" s="13">
        <v>2410</v>
      </c>
      <c r="I6968" s="7">
        <f>Tabela1[[#This Row],[Valor total]]-Tabela1[[#This Row],[Valor custo]]</f>
        <v>731</v>
      </c>
      <c r="J6968" s="27">
        <f>Tabela1[[#This Row],[MARGEM BRUTA]]/Tabela1[[#This Row],[Valor total]]</f>
        <v>0.30331950207468877</v>
      </c>
      <c r="K6968" s="26" t="str">
        <f>VLOOKUP(Tabela1[[#This Row],[Cliente]],'BASE DE CLIENTES'!A:D,4,0)</f>
        <v>EMPRESA COM MAQUINA</v>
      </c>
      <c r="L6968" s="26" t="str">
        <f>VLOOKUP(Tabela1[[#This Row],[Cliente]],'BASE DE CLIENTES'!A:E,5,0)</f>
        <v>SETOR HABITACIONAL ARNIQUEIRA (AGUAS CLARAS)</v>
      </c>
    </row>
    <row r="6969" spans="2:12" x14ac:dyDescent="0.3">
      <c r="B6969" t="s">
        <v>78</v>
      </c>
      <c r="C6969" s="26" t="str">
        <f>VLOOKUP(Tabela1[[#This Row],[Cliente]],'BASE DE CLIENTES'!A:E,2,0)</f>
        <v>Brasília</v>
      </c>
      <c r="D6969" s="26" t="str">
        <f>VLOOKUP(Tabela1[[#This Row],[Cliente]],'BASE DE CLIENTES'!A:C,3,0)</f>
        <v>DF</v>
      </c>
      <c r="E6969" s="26" t="str">
        <f>CONCATENATE(Tabela1[[#This Row],[CIDADE]],",",Tabela1[[#This Row],[UF]])</f>
        <v>Brasília,DF</v>
      </c>
      <c r="F6969" s="12">
        <v>46213</v>
      </c>
      <c r="G6969" s="14">
        <v>1426.6</v>
      </c>
      <c r="H6969" s="13">
        <v>2000</v>
      </c>
      <c r="I6969" s="7">
        <f>Tabela1[[#This Row],[Valor total]]-Tabela1[[#This Row],[Valor custo]]</f>
        <v>573.40000000000009</v>
      </c>
      <c r="J6969" s="27">
        <f>Tabela1[[#This Row],[MARGEM BRUTA]]/Tabela1[[#This Row],[Valor total]]</f>
        <v>0.28670000000000007</v>
      </c>
      <c r="K6969" s="26" t="str">
        <f>VLOOKUP(Tabela1[[#This Row],[Cliente]],'BASE DE CLIENTES'!A:D,4,0)</f>
        <v>SERRALHEIRO</v>
      </c>
      <c r="L6969" s="26" t="str">
        <f>VLOOKUP(Tabela1[[#This Row],[Cliente]],'BASE DE CLIENTES'!A:E,5,0)</f>
        <v>Vila do Boa (São Sebastião)</v>
      </c>
    </row>
    <row r="6970" spans="2:12" x14ac:dyDescent="0.3">
      <c r="B6970" t="s">
        <v>19</v>
      </c>
      <c r="C6970" s="26" t="str">
        <f>VLOOKUP(Tabela1[[#This Row],[Cliente]],'BASE DE CLIENTES'!A:E,2,0)</f>
        <v>Águas Lindas de Goiás</v>
      </c>
      <c r="D6970" s="26" t="str">
        <f>VLOOKUP(Tabela1[[#This Row],[Cliente]],'BASE DE CLIENTES'!A:C,3,0)</f>
        <v>GO</v>
      </c>
      <c r="E6970" s="26" t="str">
        <f>CONCATENATE(Tabela1[[#This Row],[CIDADE]],",",Tabela1[[#This Row],[UF]])</f>
        <v>Águas Lindas de Goiás,GO</v>
      </c>
      <c r="F6970" s="12">
        <v>46213</v>
      </c>
      <c r="G6970" s="14">
        <v>1089</v>
      </c>
      <c r="H6970" s="13">
        <v>1900</v>
      </c>
      <c r="I6970" s="7">
        <f>Tabela1[[#This Row],[Valor total]]-Tabela1[[#This Row],[Valor custo]]</f>
        <v>811</v>
      </c>
      <c r="J6970" s="27">
        <f>Tabela1[[#This Row],[MARGEM BRUTA]]/Tabela1[[#This Row],[Valor total]]</f>
        <v>0.42684210526315791</v>
      </c>
      <c r="K6970" s="26" t="str">
        <f>VLOOKUP(Tabela1[[#This Row],[Cliente]],'BASE DE CLIENTES'!A:D,4,0)</f>
        <v>SERRALHEIRO</v>
      </c>
      <c r="L6970" s="26" t="str">
        <f>VLOOKUP(Tabela1[[#This Row],[Cliente]],'BASE DE CLIENTES'!A:E,5,0)</f>
        <v>Águas Lindas de Goiás</v>
      </c>
    </row>
    <row r="6971" spans="2:12" x14ac:dyDescent="0.3">
      <c r="B6971" t="s">
        <v>1223</v>
      </c>
      <c r="C6971" s="26" t="str">
        <f>VLOOKUP(Tabela1[[#This Row],[Cliente]],'BASE DE CLIENTES'!A:E,2,0)</f>
        <v>MERCADO LIVRE</v>
      </c>
      <c r="D6971" s="26" t="str">
        <f>VLOOKUP(Tabela1[[#This Row],[Cliente]],'BASE DE CLIENTES'!A:C,3,0)</f>
        <v>MERCADO LIVRE</v>
      </c>
      <c r="E6971" s="26" t="str">
        <f>CONCATENATE(Tabela1[[#This Row],[CIDADE]],",",Tabela1[[#This Row],[UF]])</f>
        <v>MERCADO LIVRE,MERCADO LIVRE</v>
      </c>
      <c r="F6971" s="12">
        <v>46213</v>
      </c>
      <c r="G6971" s="14">
        <v>500</v>
      </c>
      <c r="H6971" s="13">
        <v>816.52</v>
      </c>
      <c r="I6971" s="7">
        <f>Tabela1[[#This Row],[Valor total]]-Tabela1[[#This Row],[Valor custo]]</f>
        <v>316.52</v>
      </c>
      <c r="J6971" s="27">
        <f>Tabela1[[#This Row],[MARGEM BRUTA]]/Tabela1[[#This Row],[Valor total]]</f>
        <v>0.38764512810463919</v>
      </c>
      <c r="K6971" s="26" t="str">
        <f>VLOOKUP(Tabela1[[#This Row],[Cliente]],'BASE DE CLIENTES'!A:D,4,0)</f>
        <v>OUTROS RAMOS</v>
      </c>
      <c r="L6971" s="26" t="str">
        <f>VLOOKUP(Tabela1[[#This Row],[Cliente]],'BASE DE CLIENTES'!A:E,5,0)</f>
        <v>MERCADO LIVRE</v>
      </c>
    </row>
    <row r="6972" spans="2:12" x14ac:dyDescent="0.3">
      <c r="B6972" t="s">
        <v>23</v>
      </c>
      <c r="C6972" s="26" t="str">
        <f>VLOOKUP(Tabela1[[#This Row],[Cliente]],'BASE DE CLIENTES'!A:E,2,0)</f>
        <v>Brasília</v>
      </c>
      <c r="D6972" s="26" t="str">
        <f>VLOOKUP(Tabela1[[#This Row],[Cliente]],'BASE DE CLIENTES'!A:C,3,0)</f>
        <v>DF</v>
      </c>
      <c r="E6972" s="26" t="str">
        <f>CONCATENATE(Tabela1[[#This Row],[CIDADE]],",",Tabela1[[#This Row],[UF]])</f>
        <v>Brasília,DF</v>
      </c>
      <c r="F6972" s="12">
        <v>46213</v>
      </c>
      <c r="G6972" s="14">
        <v>1140</v>
      </c>
      <c r="H6972" s="13">
        <v>1650</v>
      </c>
      <c r="I6972" s="7">
        <f>Tabela1[[#This Row],[Valor total]]-Tabela1[[#This Row],[Valor custo]]</f>
        <v>510</v>
      </c>
      <c r="J6972" s="27">
        <f>Tabela1[[#This Row],[MARGEM BRUTA]]/Tabela1[[#This Row],[Valor total]]</f>
        <v>0.30909090909090908</v>
      </c>
      <c r="K6972" s="26" t="str">
        <f>VLOOKUP(Tabela1[[#This Row],[Cliente]],'BASE DE CLIENTES'!A:D,4,0)</f>
        <v>EMPRESA SEM MAQUINA</v>
      </c>
      <c r="L6972" s="26" t="str">
        <f>VLOOKUP(Tabela1[[#This Row],[Cliente]],'BASE DE CLIENTES'!A:E,5,0)</f>
        <v>SETOR INDUSTRIAL (TAGUATINGA)</v>
      </c>
    </row>
    <row r="6973" spans="2:12" x14ac:dyDescent="0.3">
      <c r="B6973" t="s">
        <v>34</v>
      </c>
      <c r="C6973" s="26" t="str">
        <f>VLOOKUP(Tabela1[[#This Row],[Cliente]],'BASE DE CLIENTES'!A:E,2,0)</f>
        <v>Brasília</v>
      </c>
      <c r="D6973" s="26" t="str">
        <f>VLOOKUP(Tabela1[[#This Row],[Cliente]],'BASE DE CLIENTES'!A:C,3,0)</f>
        <v>DF</v>
      </c>
      <c r="E6973" s="26" t="str">
        <f>CONCATENATE(Tabela1[[#This Row],[CIDADE]],",",Tabela1[[#This Row],[UF]])</f>
        <v>Brasília,DF</v>
      </c>
      <c r="F6973" s="12">
        <v>46212</v>
      </c>
      <c r="G6973" s="14">
        <v>1360</v>
      </c>
      <c r="H6973" s="13">
        <v>2472</v>
      </c>
      <c r="I6973" s="7">
        <f>Tabela1[[#This Row],[Valor total]]-Tabela1[[#This Row],[Valor custo]]</f>
        <v>1112</v>
      </c>
      <c r="J6973" s="27">
        <f>Tabela1[[#This Row],[MARGEM BRUTA]]/Tabela1[[#This Row],[Valor total]]</f>
        <v>0.44983818770226536</v>
      </c>
      <c r="K6973" s="26" t="str">
        <f>VLOOKUP(Tabela1[[#This Row],[Cliente]],'BASE DE CLIENTES'!A:D,4,0)</f>
        <v>SERRALHEIRO</v>
      </c>
      <c r="L6973" s="26" t="str">
        <f>VLOOKUP(Tabela1[[#This Row],[Cliente]],'BASE DE CLIENTES'!A:E,5,0)</f>
        <v>RECANTO DAS EMAS</v>
      </c>
    </row>
    <row r="6974" spans="2:12" x14ac:dyDescent="0.3">
      <c r="B6974" t="s">
        <v>199</v>
      </c>
      <c r="C6974" s="26" t="str">
        <f>VLOOKUP(Tabela1[[#This Row],[Cliente]],'BASE DE CLIENTES'!A:E,2,0)</f>
        <v>Goiânia</v>
      </c>
      <c r="D6974" s="26" t="str">
        <f>VLOOKUP(Tabela1[[#This Row],[Cliente]],'BASE DE CLIENTES'!A:C,3,0)</f>
        <v>GO</v>
      </c>
      <c r="E6974" s="26" t="str">
        <f>CONCATENATE(Tabela1[[#This Row],[CIDADE]],",",Tabela1[[#This Row],[UF]])</f>
        <v>Goiânia,GO</v>
      </c>
      <c r="F6974" s="12">
        <v>46212</v>
      </c>
      <c r="G6974" s="14">
        <v>2644.72</v>
      </c>
      <c r="H6974" s="13">
        <v>4300</v>
      </c>
      <c r="I6974" s="7">
        <f>Tabela1[[#This Row],[Valor total]]-Tabela1[[#This Row],[Valor custo]]</f>
        <v>1655.2800000000002</v>
      </c>
      <c r="J6974" s="27">
        <f>Tabela1[[#This Row],[MARGEM BRUTA]]/Tabela1[[#This Row],[Valor total]]</f>
        <v>0.3849488372093024</v>
      </c>
      <c r="K6974" s="26" t="str">
        <f>VLOOKUP(Tabela1[[#This Row],[Cliente]],'BASE DE CLIENTES'!A:D,4,0)</f>
        <v>EMPRESA COM MAQUINA</v>
      </c>
      <c r="L6974" s="26" t="str">
        <f>VLOOKUP(Tabela1[[#This Row],[Cliente]],'BASE DE CLIENTES'!A:E,5,0)</f>
        <v>Goiânia</v>
      </c>
    </row>
    <row r="6975" spans="2:12" x14ac:dyDescent="0.3">
      <c r="B6975" t="s">
        <v>1223</v>
      </c>
      <c r="C6975" s="26" t="str">
        <f>VLOOKUP(Tabela1[[#This Row],[Cliente]],'BASE DE CLIENTES'!A:E,2,0)</f>
        <v>MERCADO LIVRE</v>
      </c>
      <c r="D6975" s="26" t="str">
        <f>VLOOKUP(Tabela1[[#This Row],[Cliente]],'BASE DE CLIENTES'!A:C,3,0)</f>
        <v>MERCADO LIVRE</v>
      </c>
      <c r="E6975" s="26" t="str">
        <f>CONCATENATE(Tabela1[[#This Row],[CIDADE]],",",Tabela1[[#This Row],[UF]])</f>
        <v>MERCADO LIVRE,MERCADO LIVRE</v>
      </c>
      <c r="F6975" s="12">
        <v>46212</v>
      </c>
      <c r="G6975" s="14">
        <v>134.24</v>
      </c>
      <c r="H6975" s="13">
        <v>227.32</v>
      </c>
      <c r="I6975" s="7">
        <f>Tabela1[[#This Row],[Valor total]]-Tabela1[[#This Row],[Valor custo]]</f>
        <v>93.079999999999984</v>
      </c>
      <c r="J6975" s="27">
        <f>Tabela1[[#This Row],[MARGEM BRUTA]]/Tabela1[[#This Row],[Valor total]]</f>
        <v>0.40946683089917291</v>
      </c>
      <c r="K6975" s="26" t="str">
        <f>VLOOKUP(Tabela1[[#This Row],[Cliente]],'BASE DE CLIENTES'!A:D,4,0)</f>
        <v>OUTROS RAMOS</v>
      </c>
      <c r="L6975" s="26" t="str">
        <f>VLOOKUP(Tabela1[[#This Row],[Cliente]],'BASE DE CLIENTES'!A:E,5,0)</f>
        <v>MERCADO LIVRE</v>
      </c>
    </row>
    <row r="6976" spans="2:12" x14ac:dyDescent="0.3">
      <c r="B6976" t="s">
        <v>1223</v>
      </c>
      <c r="C6976" s="26" t="str">
        <f>VLOOKUP(Tabela1[[#This Row],[Cliente]],'BASE DE CLIENTES'!A:E,2,0)</f>
        <v>MERCADO LIVRE</v>
      </c>
      <c r="D6976" s="26" t="str">
        <f>VLOOKUP(Tabela1[[#This Row],[Cliente]],'BASE DE CLIENTES'!A:C,3,0)</f>
        <v>MERCADO LIVRE</v>
      </c>
      <c r="E6976" s="26" t="str">
        <f>CONCATENATE(Tabela1[[#This Row],[CIDADE]],",",Tabela1[[#This Row],[UF]])</f>
        <v>MERCADO LIVRE,MERCADO LIVRE</v>
      </c>
      <c r="F6976" s="12">
        <v>46212</v>
      </c>
      <c r="G6976" s="14">
        <v>56.28</v>
      </c>
      <c r="H6976" s="13">
        <v>192.81</v>
      </c>
      <c r="I6976" s="7">
        <f>Tabela1[[#This Row],[Valor total]]-Tabela1[[#This Row],[Valor custo]]</f>
        <v>136.53</v>
      </c>
      <c r="J6976" s="27">
        <f>Tabela1[[#This Row],[MARGEM BRUTA]]/Tabela1[[#This Row],[Valor total]]</f>
        <v>0.7081064260152482</v>
      </c>
      <c r="K6976" s="26" t="str">
        <f>VLOOKUP(Tabela1[[#This Row],[Cliente]],'BASE DE CLIENTES'!A:D,4,0)</f>
        <v>OUTROS RAMOS</v>
      </c>
      <c r="L6976" s="26" t="str">
        <f>VLOOKUP(Tabela1[[#This Row],[Cliente]],'BASE DE CLIENTES'!A:E,5,0)</f>
        <v>MERCADO LIVRE</v>
      </c>
    </row>
    <row r="6977" spans="2:12" x14ac:dyDescent="0.3">
      <c r="B6977" t="s">
        <v>42</v>
      </c>
      <c r="C6977" s="26" t="str">
        <f>VLOOKUP(Tabela1[[#This Row],[Cliente]],'BASE DE CLIENTES'!A:E,2,0)</f>
        <v>Brasília</v>
      </c>
      <c r="D6977" s="26" t="str">
        <f>VLOOKUP(Tabela1[[#This Row],[Cliente]],'BASE DE CLIENTES'!A:C,3,0)</f>
        <v>DF</v>
      </c>
      <c r="E6977" s="26" t="str">
        <f>CONCATENATE(Tabela1[[#This Row],[CIDADE]],",",Tabela1[[#This Row],[UF]])</f>
        <v>Brasília,DF</v>
      </c>
      <c r="F6977" s="12">
        <v>46212</v>
      </c>
      <c r="G6977" s="14">
        <v>56.28</v>
      </c>
      <c r="H6977" s="13">
        <v>150</v>
      </c>
      <c r="I6977" s="7">
        <f>Tabela1[[#This Row],[Valor total]]-Tabela1[[#This Row],[Valor custo]]</f>
        <v>93.72</v>
      </c>
      <c r="J6977" s="27">
        <f>Tabela1[[#This Row],[MARGEM BRUTA]]/Tabela1[[#This Row],[Valor total]]</f>
        <v>0.62480000000000002</v>
      </c>
      <c r="K6977" s="26" t="str">
        <f>VLOOKUP(Tabela1[[#This Row],[Cliente]],'BASE DE CLIENTES'!A:D,4,0)</f>
        <v>EMPRESA SEM MAQUINA</v>
      </c>
      <c r="L6977" s="26" t="str">
        <f>VLOOKUP(Tabela1[[#This Row],[Cliente]],'BASE DE CLIENTES'!A:E,5,0)</f>
        <v>SAMAMBAIA</v>
      </c>
    </row>
    <row r="6978" spans="2:12" x14ac:dyDescent="0.3">
      <c r="B6978" t="s">
        <v>190</v>
      </c>
      <c r="C6978" s="26" t="str">
        <f>VLOOKUP(Tabela1[[#This Row],[Cliente]],'BASE DE CLIENTES'!A:E,2,0)</f>
        <v>Brasília</v>
      </c>
      <c r="D6978" s="26" t="str">
        <f>VLOOKUP(Tabela1[[#This Row],[Cliente]],'BASE DE CLIENTES'!A:C,3,0)</f>
        <v>DF</v>
      </c>
      <c r="E6978" s="26" t="str">
        <f>CONCATENATE(Tabela1[[#This Row],[CIDADE]],",",Tabela1[[#This Row],[UF]])</f>
        <v>Brasília,DF</v>
      </c>
      <c r="F6978" s="12">
        <v>46212</v>
      </c>
      <c r="G6978" s="14">
        <v>380</v>
      </c>
      <c r="H6978" s="13">
        <v>600</v>
      </c>
      <c r="I6978" s="7">
        <f>Tabela1[[#This Row],[Valor total]]-Tabela1[[#This Row],[Valor custo]]</f>
        <v>220</v>
      </c>
      <c r="J6978" s="27">
        <f>Tabela1[[#This Row],[MARGEM BRUTA]]/Tabela1[[#This Row],[Valor total]]</f>
        <v>0.36666666666666664</v>
      </c>
      <c r="K6978" s="26" t="str">
        <f>VLOOKUP(Tabela1[[#This Row],[Cliente]],'BASE DE CLIENTES'!A:D,4,0)</f>
        <v>EMPRESA COM MAQUINA</v>
      </c>
      <c r="L6978" s="26" t="str">
        <f>VLOOKUP(Tabela1[[#This Row],[Cliente]],'BASE DE CLIENTES'!A:E,5,0)</f>
        <v>RIACHO FUNDO I</v>
      </c>
    </row>
    <row r="6979" spans="2:12" x14ac:dyDescent="0.3">
      <c r="B6979" t="s">
        <v>195</v>
      </c>
      <c r="C6979" s="26" t="str">
        <f>VLOOKUP(Tabela1[[#This Row],[Cliente]],'BASE DE CLIENTES'!A:E,2,0)</f>
        <v>Goiânia</v>
      </c>
      <c r="D6979" s="26" t="str">
        <f>VLOOKUP(Tabela1[[#This Row],[Cliente]],'BASE DE CLIENTES'!A:C,3,0)</f>
        <v>GO</v>
      </c>
      <c r="E6979" s="26" t="str">
        <f>CONCATENATE(Tabela1[[#This Row],[CIDADE]],",",Tabela1[[#This Row],[UF]])</f>
        <v>Goiânia,GO</v>
      </c>
      <c r="F6979" s="12">
        <v>46212</v>
      </c>
      <c r="G6979" s="14">
        <v>2918.38</v>
      </c>
      <c r="H6979" s="13">
        <v>4600</v>
      </c>
      <c r="I6979" s="7">
        <f>Tabela1[[#This Row],[Valor total]]-Tabela1[[#This Row],[Valor custo]]</f>
        <v>1681.62</v>
      </c>
      <c r="J6979" s="27">
        <f>Tabela1[[#This Row],[MARGEM BRUTA]]/Tabela1[[#This Row],[Valor total]]</f>
        <v>0.36556956521739126</v>
      </c>
      <c r="K6979" s="26" t="str">
        <f>VLOOKUP(Tabela1[[#This Row],[Cliente]],'BASE DE CLIENTES'!A:D,4,0)</f>
        <v>EMPRESA COM MAQUINA</v>
      </c>
      <c r="L6979" s="26" t="str">
        <f>VLOOKUP(Tabela1[[#This Row],[Cliente]],'BASE DE CLIENTES'!A:E,5,0)</f>
        <v>Goiânia</v>
      </c>
    </row>
    <row r="6980" spans="2:12" x14ac:dyDescent="0.3">
      <c r="B6980" t="s">
        <v>1313</v>
      </c>
      <c r="C6980" s="26" t="str">
        <f>VLOOKUP(Tabela1[[#This Row],[Cliente]],'BASE DE CLIENTES'!A:E,2,0)</f>
        <v>Brasília</v>
      </c>
      <c r="D6980" s="26" t="str">
        <f>VLOOKUP(Tabela1[[#This Row],[Cliente]],'BASE DE CLIENTES'!A:C,3,0)</f>
        <v>DF</v>
      </c>
      <c r="E6980" s="26" t="str">
        <f>CONCATENATE(Tabela1[[#This Row],[CIDADE]],",",Tabela1[[#This Row],[UF]])</f>
        <v>Brasília,DF</v>
      </c>
      <c r="F6980" s="12">
        <v>46212</v>
      </c>
      <c r="G6980" s="14">
        <v>0</v>
      </c>
      <c r="H6980" s="13">
        <v>800</v>
      </c>
      <c r="I6980" s="7">
        <f>Tabela1[[#This Row],[Valor total]]-Tabela1[[#This Row],[Valor custo]]</f>
        <v>800</v>
      </c>
      <c r="J6980" s="27">
        <f>Tabela1[[#This Row],[MARGEM BRUTA]]/Tabela1[[#This Row],[Valor total]]</f>
        <v>1</v>
      </c>
      <c r="K6980" s="26" t="str">
        <f>VLOOKUP(Tabela1[[#This Row],[Cliente]],'BASE DE CLIENTES'!A:D,4,0)</f>
        <v>CLIENTE NOVO S/ IDENT.</v>
      </c>
      <c r="L6980" s="26" t="str">
        <f>VLOOKUP(Tabela1[[#This Row],[Cliente]],'BASE DE CLIENTES'!A:E,5,0)</f>
        <v>ASA SUL</v>
      </c>
    </row>
    <row r="6981" spans="2:12" x14ac:dyDescent="0.3">
      <c r="B6981" t="s">
        <v>340</v>
      </c>
      <c r="C6981" s="26" t="str">
        <f>VLOOKUP(Tabela1[[#This Row],[Cliente]],'BASE DE CLIENTES'!A:E,2,0)</f>
        <v>Brasília</v>
      </c>
      <c r="D6981" s="26" t="str">
        <f>VLOOKUP(Tabela1[[#This Row],[Cliente]],'BASE DE CLIENTES'!A:C,3,0)</f>
        <v>DF</v>
      </c>
      <c r="E6981" s="26" t="str">
        <f>CONCATENATE(Tabela1[[#This Row],[CIDADE]],",",Tabela1[[#This Row],[UF]])</f>
        <v>Brasília,DF</v>
      </c>
      <c r="F6981" s="12">
        <v>46212</v>
      </c>
      <c r="G6981" s="14">
        <v>168.84</v>
      </c>
      <c r="H6981" s="13">
        <v>450</v>
      </c>
      <c r="I6981" s="7">
        <f>Tabela1[[#This Row],[Valor total]]-Tabela1[[#This Row],[Valor custo]]</f>
        <v>281.15999999999997</v>
      </c>
      <c r="J6981" s="27">
        <f>Tabela1[[#This Row],[MARGEM BRUTA]]/Tabela1[[#This Row],[Valor total]]</f>
        <v>0.62479999999999991</v>
      </c>
      <c r="K6981" s="26" t="str">
        <f>VLOOKUP(Tabela1[[#This Row],[Cliente]],'BASE DE CLIENTES'!A:D,4,0)</f>
        <v>CLIENTE NOVO S/ IDENT.</v>
      </c>
      <c r="L6981" s="26" t="str">
        <f>VLOOKUP(Tabela1[[#This Row],[Cliente]],'BASE DE CLIENTES'!A:E,5,0)</f>
        <v>Brasília</v>
      </c>
    </row>
    <row r="6982" spans="2:12" x14ac:dyDescent="0.3">
      <c r="B6982" t="s">
        <v>195</v>
      </c>
      <c r="C6982" s="26" t="str">
        <f>VLOOKUP(Tabela1[[#This Row],[Cliente]],'BASE DE CLIENTES'!A:E,2,0)</f>
        <v>Goiânia</v>
      </c>
      <c r="D6982" s="26" t="str">
        <f>VLOOKUP(Tabela1[[#This Row],[Cliente]],'BASE DE CLIENTES'!A:C,3,0)</f>
        <v>GO</v>
      </c>
      <c r="E6982" s="26" t="str">
        <f>CONCATENATE(Tabela1[[#This Row],[CIDADE]],",",Tabela1[[#This Row],[UF]])</f>
        <v>Goiânia,GO</v>
      </c>
      <c r="F6982" s="12">
        <v>46212</v>
      </c>
      <c r="G6982" s="14">
        <v>2468.9499999999998</v>
      </c>
      <c r="H6982" s="13">
        <v>3750</v>
      </c>
      <c r="I6982" s="7">
        <f>Tabela1[[#This Row],[Valor total]]-Tabela1[[#This Row],[Valor custo]]</f>
        <v>1281.0500000000002</v>
      </c>
      <c r="J6982" s="27">
        <f>Tabela1[[#This Row],[MARGEM BRUTA]]/Tabela1[[#This Row],[Valor total]]</f>
        <v>0.34161333333333338</v>
      </c>
      <c r="K6982" s="26" t="str">
        <f>VLOOKUP(Tabela1[[#This Row],[Cliente]],'BASE DE CLIENTES'!A:D,4,0)</f>
        <v>EMPRESA COM MAQUINA</v>
      </c>
      <c r="L6982" s="26" t="str">
        <f>VLOOKUP(Tabela1[[#This Row],[Cliente]],'BASE DE CLIENTES'!A:E,5,0)</f>
        <v>Goiânia</v>
      </c>
    </row>
    <row r="6983" spans="2:12" x14ac:dyDescent="0.3">
      <c r="B6983" t="s">
        <v>17</v>
      </c>
      <c r="C6983" s="26" t="str">
        <f>VLOOKUP(Tabela1[[#This Row],[Cliente]],'BASE DE CLIENTES'!A:E,2,0)</f>
        <v>Águas Lindas de Goiás</v>
      </c>
      <c r="D6983" s="26" t="str">
        <f>VLOOKUP(Tabela1[[#This Row],[Cliente]],'BASE DE CLIENTES'!A:C,3,0)</f>
        <v>GO</v>
      </c>
      <c r="E6983" s="26" t="str">
        <f>CONCATENATE(Tabela1[[#This Row],[CIDADE]],",",Tabela1[[#This Row],[UF]])</f>
        <v>Águas Lindas de Goiás,GO</v>
      </c>
      <c r="F6983" s="12">
        <v>46212</v>
      </c>
      <c r="G6983" s="14">
        <v>873.79</v>
      </c>
      <c r="H6983" s="13">
        <v>1495</v>
      </c>
      <c r="I6983" s="7">
        <f>Tabela1[[#This Row],[Valor total]]-Tabela1[[#This Row],[Valor custo]]</f>
        <v>621.21</v>
      </c>
      <c r="J6983" s="27">
        <f>Tabela1[[#This Row],[MARGEM BRUTA]]/Tabela1[[#This Row],[Valor total]]</f>
        <v>0.41552508361204016</v>
      </c>
      <c r="K6983" s="26" t="str">
        <f>VLOOKUP(Tabela1[[#This Row],[Cliente]],'BASE DE CLIENTES'!A:D,4,0)</f>
        <v>SERRALHEIRO</v>
      </c>
      <c r="L6983" s="26" t="str">
        <f>VLOOKUP(Tabela1[[#This Row],[Cliente]],'BASE DE CLIENTES'!A:E,5,0)</f>
        <v>Águas Lindas de Goiás</v>
      </c>
    </row>
    <row r="6984" spans="2:12" x14ac:dyDescent="0.3">
      <c r="B6984" t="s">
        <v>111</v>
      </c>
      <c r="C6984" s="26" t="str">
        <f>VLOOKUP(Tabela1[[#This Row],[Cliente]],'BASE DE CLIENTES'!A:E,2,0)</f>
        <v>Brasília</v>
      </c>
      <c r="D6984" s="26" t="str">
        <f>VLOOKUP(Tabela1[[#This Row],[Cliente]],'BASE DE CLIENTES'!A:C,3,0)</f>
        <v>DF</v>
      </c>
      <c r="E6984" s="26" t="str">
        <f>CONCATENATE(Tabela1[[#This Row],[CIDADE]],",",Tabela1[[#This Row],[UF]])</f>
        <v>Brasília,DF</v>
      </c>
      <c r="F6984" s="12">
        <v>46212</v>
      </c>
      <c r="G6984" s="14">
        <v>1018.58</v>
      </c>
      <c r="H6984" s="13">
        <v>1900</v>
      </c>
      <c r="I6984" s="7">
        <f>Tabela1[[#This Row],[Valor total]]-Tabela1[[#This Row],[Valor custo]]</f>
        <v>881.42</v>
      </c>
      <c r="J6984" s="27">
        <f>Tabela1[[#This Row],[MARGEM BRUTA]]/Tabela1[[#This Row],[Valor total]]</f>
        <v>0.46390526315789471</v>
      </c>
      <c r="K6984" s="26" t="str">
        <f>VLOOKUP(Tabela1[[#This Row],[Cliente]],'BASE DE CLIENTES'!A:D,4,0)</f>
        <v>EMPRESA SEM MAQUINA</v>
      </c>
      <c r="L6984" s="26" t="str">
        <f>VLOOKUP(Tabela1[[#This Row],[Cliente]],'BASE DE CLIENTES'!A:E,5,0)</f>
        <v>TAGUATINGA SUL (TAGUATINGA)</v>
      </c>
    </row>
    <row r="6985" spans="2:12" x14ac:dyDescent="0.3">
      <c r="B6985" t="s">
        <v>52</v>
      </c>
      <c r="C6985" s="26" t="str">
        <f>VLOOKUP(Tabela1[[#This Row],[Cliente]],'BASE DE CLIENTES'!A:E,2,0)</f>
        <v>Brasília</v>
      </c>
      <c r="D6985" s="26" t="str">
        <f>VLOOKUP(Tabela1[[#This Row],[Cliente]],'BASE DE CLIENTES'!A:C,3,0)</f>
        <v>DF</v>
      </c>
      <c r="E6985" s="26" t="str">
        <f>CONCATENATE(Tabela1[[#This Row],[CIDADE]],",",Tabela1[[#This Row],[UF]])</f>
        <v>Brasília,DF</v>
      </c>
      <c r="F6985" s="12">
        <v>46212</v>
      </c>
      <c r="G6985" s="14">
        <v>290</v>
      </c>
      <c r="H6985" s="13">
        <v>530</v>
      </c>
      <c r="I6985" s="7">
        <f>Tabela1[[#This Row],[Valor total]]-Tabela1[[#This Row],[Valor custo]]</f>
        <v>240</v>
      </c>
      <c r="J6985" s="27">
        <f>Tabela1[[#This Row],[MARGEM BRUTA]]/Tabela1[[#This Row],[Valor total]]</f>
        <v>0.45283018867924529</v>
      </c>
      <c r="K6985" s="26" t="str">
        <f>VLOOKUP(Tabela1[[#This Row],[Cliente]],'BASE DE CLIENTES'!A:D,4,0)</f>
        <v>SERRALHEIRO</v>
      </c>
      <c r="L6985" s="26" t="str">
        <f>VLOOKUP(Tabela1[[#This Row],[Cliente]],'BASE DE CLIENTES'!A:E,5,0)</f>
        <v>Ceilândia Sul (Ceilândia)</v>
      </c>
    </row>
    <row r="6986" spans="2:12" x14ac:dyDescent="0.3">
      <c r="B6986" t="s">
        <v>76</v>
      </c>
      <c r="C6986" s="26" t="str">
        <f>VLOOKUP(Tabela1[[#This Row],[Cliente]],'BASE DE CLIENTES'!A:E,2,0)</f>
        <v>Brasília</v>
      </c>
      <c r="D6986" s="26" t="str">
        <f>VLOOKUP(Tabela1[[#This Row],[Cliente]],'BASE DE CLIENTES'!A:C,3,0)</f>
        <v>DF</v>
      </c>
      <c r="E6986" s="26" t="str">
        <f>CONCATENATE(Tabela1[[#This Row],[CIDADE]],",",Tabela1[[#This Row],[UF]])</f>
        <v>Brasília,DF</v>
      </c>
      <c r="F6986" s="12">
        <v>46212</v>
      </c>
      <c r="G6986" s="14">
        <v>720</v>
      </c>
      <c r="H6986" s="13">
        <v>1400</v>
      </c>
      <c r="I6986" s="7">
        <f>Tabela1[[#This Row],[Valor total]]-Tabela1[[#This Row],[Valor custo]]</f>
        <v>680</v>
      </c>
      <c r="J6986" s="27">
        <f>Tabela1[[#This Row],[MARGEM BRUTA]]/Tabela1[[#This Row],[Valor total]]</f>
        <v>0.48571428571428571</v>
      </c>
      <c r="K6986" s="26" t="str">
        <f>VLOOKUP(Tabela1[[#This Row],[Cliente]],'BASE DE CLIENTES'!A:D,4,0)</f>
        <v>EMPRESA COM MAQUINA</v>
      </c>
      <c r="L6986" s="26" t="str">
        <f>VLOOKUP(Tabela1[[#This Row],[Cliente]],'BASE DE CLIENTES'!A:E,5,0)</f>
        <v>Setor Placa da Mercedes (Núcleo Bandeirante)</v>
      </c>
    </row>
    <row r="6987" spans="2:12" x14ac:dyDescent="0.3">
      <c r="B6987" t="s">
        <v>102</v>
      </c>
      <c r="C6987" s="26" t="str">
        <f>VLOOKUP(Tabela1[[#This Row],[Cliente]],'BASE DE CLIENTES'!A:E,2,0)</f>
        <v>Brasília</v>
      </c>
      <c r="D6987" s="26" t="str">
        <f>VLOOKUP(Tabela1[[#This Row],[Cliente]],'BASE DE CLIENTES'!A:C,3,0)</f>
        <v>DF</v>
      </c>
      <c r="E6987" s="26" t="str">
        <f>CONCATENATE(Tabela1[[#This Row],[CIDADE]],",",Tabela1[[#This Row],[UF]])</f>
        <v>Brasília,DF</v>
      </c>
      <c r="F6987" s="12">
        <v>46212</v>
      </c>
      <c r="G6987" s="14">
        <v>419</v>
      </c>
      <c r="H6987" s="13">
        <v>698.4</v>
      </c>
      <c r="I6987" s="7">
        <f>Tabela1[[#This Row],[Valor total]]-Tabela1[[#This Row],[Valor custo]]</f>
        <v>279.39999999999998</v>
      </c>
      <c r="J6987" s="27">
        <f>Tabela1[[#This Row],[MARGEM BRUTA]]/Tabela1[[#This Row],[Valor total]]</f>
        <v>0.40005727376861394</v>
      </c>
      <c r="K6987" s="26" t="str">
        <f>VLOOKUP(Tabela1[[#This Row],[Cliente]],'BASE DE CLIENTES'!A:D,4,0)</f>
        <v>SERRALHEIRO</v>
      </c>
      <c r="L6987" s="26" t="str">
        <f>VLOOKUP(Tabela1[[#This Row],[Cliente]],'BASE DE CLIENTES'!A:E,5,0)</f>
        <v>Samambaia Norte (Samambaia)</v>
      </c>
    </row>
    <row r="6988" spans="2:12" x14ac:dyDescent="0.3">
      <c r="B6988" t="s">
        <v>25</v>
      </c>
      <c r="C6988" s="26" t="str">
        <f>VLOOKUP(Tabela1[[#This Row],[Cliente]],'BASE DE CLIENTES'!A:E,2,0)</f>
        <v>Brasília</v>
      </c>
      <c r="D6988" s="26" t="str">
        <f>VLOOKUP(Tabela1[[#This Row],[Cliente]],'BASE DE CLIENTES'!A:C,3,0)</f>
        <v>DF</v>
      </c>
      <c r="E6988" s="26" t="str">
        <f>CONCATENATE(Tabela1[[#This Row],[CIDADE]],",",Tabela1[[#This Row],[UF]])</f>
        <v>Brasília,DF</v>
      </c>
      <c r="F6988" s="12">
        <v>46212</v>
      </c>
      <c r="G6988" s="14">
        <v>1050</v>
      </c>
      <c r="H6988" s="13">
        <v>1715</v>
      </c>
      <c r="I6988" s="7">
        <f>Tabela1[[#This Row],[Valor total]]-Tabela1[[#This Row],[Valor custo]]</f>
        <v>665</v>
      </c>
      <c r="J6988" s="27">
        <f>Tabela1[[#This Row],[MARGEM BRUTA]]/Tabela1[[#This Row],[Valor total]]</f>
        <v>0.38775510204081631</v>
      </c>
      <c r="K6988" s="26" t="str">
        <f>VLOOKUP(Tabela1[[#This Row],[Cliente]],'BASE DE CLIENTES'!A:D,4,0)</f>
        <v>EMPRESA COM MAQUINA</v>
      </c>
      <c r="L6988" s="26" t="str">
        <f>VLOOKUP(Tabela1[[#This Row],[Cliente]],'BASE DE CLIENTES'!A:E,5,0)</f>
        <v>CEILANDIA NORTE (CEILANDIA)</v>
      </c>
    </row>
    <row r="6989" spans="2:12" x14ac:dyDescent="0.3">
      <c r="B6989" t="s">
        <v>161</v>
      </c>
      <c r="C6989" s="26" t="str">
        <f>VLOOKUP(Tabela1[[#This Row],[Cliente]],'BASE DE CLIENTES'!A:E,2,0)</f>
        <v>Brasília</v>
      </c>
      <c r="D6989" s="26" t="str">
        <f>VLOOKUP(Tabela1[[#This Row],[Cliente]],'BASE DE CLIENTES'!A:C,3,0)</f>
        <v>DF</v>
      </c>
      <c r="E6989" s="26" t="str">
        <f>CONCATENATE(Tabela1[[#This Row],[CIDADE]],",",Tabela1[[#This Row],[UF]])</f>
        <v>Brasília,DF</v>
      </c>
      <c r="F6989" s="12">
        <v>46212</v>
      </c>
      <c r="G6989" s="14">
        <v>30367.73</v>
      </c>
      <c r="H6989" s="13">
        <v>45470</v>
      </c>
      <c r="I6989" s="7">
        <f>Tabela1[[#This Row],[Valor total]]-Tabela1[[#This Row],[Valor custo]]</f>
        <v>15102.27</v>
      </c>
      <c r="J6989" s="27">
        <f>Tabela1[[#This Row],[MARGEM BRUTA]]/Tabela1[[#This Row],[Valor total]]</f>
        <v>0.33213701341543878</v>
      </c>
      <c r="K6989" s="26" t="str">
        <f>VLOOKUP(Tabela1[[#This Row],[Cliente]],'BASE DE CLIENTES'!A:D,4,0)</f>
        <v>EMPRESA COM MAQUINA</v>
      </c>
      <c r="L6989" s="26" t="str">
        <f>VLOOKUP(Tabela1[[#This Row],[Cliente]],'BASE DE CLIENTES'!A:E,5,0)</f>
        <v>RIACHO FUNDO II</v>
      </c>
    </row>
    <row r="6990" spans="2:12" x14ac:dyDescent="0.3">
      <c r="B6990" t="s">
        <v>149</v>
      </c>
      <c r="C6990" s="26" t="str">
        <f>VLOOKUP(Tabela1[[#This Row],[Cliente]],'BASE DE CLIENTES'!A:E,2,0)</f>
        <v>Anápolis</v>
      </c>
      <c r="D6990" s="26" t="str">
        <f>VLOOKUP(Tabela1[[#This Row],[Cliente]],'BASE DE CLIENTES'!A:C,3,0)</f>
        <v>GO</v>
      </c>
      <c r="E6990" s="26" t="str">
        <f>CONCATENATE(Tabela1[[#This Row],[CIDADE]],",",Tabela1[[#This Row],[UF]])</f>
        <v>Anápolis,GO</v>
      </c>
      <c r="F6990" s="12">
        <v>46212</v>
      </c>
      <c r="G6990" s="14">
        <v>9890</v>
      </c>
      <c r="H6990" s="13">
        <v>15300</v>
      </c>
      <c r="I6990" s="7">
        <f>Tabela1[[#This Row],[Valor total]]-Tabela1[[#This Row],[Valor custo]]</f>
        <v>5410</v>
      </c>
      <c r="J6990" s="27">
        <f>Tabela1[[#This Row],[MARGEM BRUTA]]/Tabela1[[#This Row],[Valor total]]</f>
        <v>0.35359477124183009</v>
      </c>
      <c r="K6990" s="26" t="str">
        <f>VLOOKUP(Tabela1[[#This Row],[Cliente]],'BASE DE CLIENTES'!A:D,4,0)</f>
        <v>EMPRESA COM MAQUINA</v>
      </c>
      <c r="L6990" s="26" t="str">
        <f>VLOOKUP(Tabela1[[#This Row],[Cliente]],'BASE DE CLIENTES'!A:E,5,0)</f>
        <v>Anápolis</v>
      </c>
    </row>
    <row r="6991" spans="2:12" x14ac:dyDescent="0.3">
      <c r="B6991" t="s">
        <v>42</v>
      </c>
      <c r="C6991" s="26" t="str">
        <f>VLOOKUP(Tabela1[[#This Row],[Cliente]],'BASE DE CLIENTES'!A:E,2,0)</f>
        <v>Brasília</v>
      </c>
      <c r="D6991" s="26" t="str">
        <f>VLOOKUP(Tabela1[[#This Row],[Cliente]],'BASE DE CLIENTES'!A:C,3,0)</f>
        <v>DF</v>
      </c>
      <c r="E6991" s="26" t="str">
        <f>CONCATENATE(Tabela1[[#This Row],[CIDADE]],",",Tabela1[[#This Row],[UF]])</f>
        <v>Brasília,DF</v>
      </c>
      <c r="F6991" s="12">
        <v>46211</v>
      </c>
      <c r="G6991" s="14">
        <v>945.79</v>
      </c>
      <c r="H6991" s="13">
        <v>1540</v>
      </c>
      <c r="I6991" s="7">
        <f>Tabela1[[#This Row],[Valor total]]-Tabela1[[#This Row],[Valor custo]]</f>
        <v>594.21</v>
      </c>
      <c r="J6991" s="27">
        <f>Tabela1[[#This Row],[MARGEM BRUTA]]/Tabela1[[#This Row],[Valor total]]</f>
        <v>0.38585064935064939</v>
      </c>
      <c r="K6991" s="26" t="str">
        <f>VLOOKUP(Tabela1[[#This Row],[Cliente]],'BASE DE CLIENTES'!A:D,4,0)</f>
        <v>EMPRESA SEM MAQUINA</v>
      </c>
      <c r="L6991" s="26" t="str">
        <f>VLOOKUP(Tabela1[[#This Row],[Cliente]],'BASE DE CLIENTES'!A:E,5,0)</f>
        <v>SAMAMBAIA</v>
      </c>
    </row>
    <row r="6992" spans="2:12" x14ac:dyDescent="0.3">
      <c r="B6992" t="s">
        <v>1223</v>
      </c>
      <c r="C6992" s="26" t="str">
        <f>VLOOKUP(Tabela1[[#This Row],[Cliente]],'BASE DE CLIENTES'!A:E,2,0)</f>
        <v>MERCADO LIVRE</v>
      </c>
      <c r="D6992" s="26" t="str">
        <f>VLOOKUP(Tabela1[[#This Row],[Cliente]],'BASE DE CLIENTES'!A:C,3,0)</f>
        <v>MERCADO LIVRE</v>
      </c>
      <c r="E6992" s="26" t="str">
        <f>CONCATENATE(Tabela1[[#This Row],[CIDADE]],",",Tabela1[[#This Row],[UF]])</f>
        <v>MERCADO LIVRE,MERCADO LIVRE</v>
      </c>
      <c r="F6992" s="12">
        <v>46211</v>
      </c>
      <c r="G6992" s="14">
        <v>33.56</v>
      </c>
      <c r="H6992" s="13">
        <v>50.92</v>
      </c>
      <c r="I6992" s="7">
        <f>Tabela1[[#This Row],[Valor total]]-Tabela1[[#This Row],[Valor custo]]</f>
        <v>17.36</v>
      </c>
      <c r="J6992" s="27">
        <f>Tabela1[[#This Row],[MARGEM BRUTA]]/Tabela1[[#This Row],[Valor total]]</f>
        <v>0.34092694422623721</v>
      </c>
      <c r="K6992" s="26" t="str">
        <f>VLOOKUP(Tabela1[[#This Row],[Cliente]],'BASE DE CLIENTES'!A:D,4,0)</f>
        <v>OUTROS RAMOS</v>
      </c>
      <c r="L6992" s="26" t="str">
        <f>VLOOKUP(Tabela1[[#This Row],[Cliente]],'BASE DE CLIENTES'!A:E,5,0)</f>
        <v>MERCADO LIVRE</v>
      </c>
    </row>
    <row r="6993" spans="2:12" x14ac:dyDescent="0.3">
      <c r="B6993" t="s">
        <v>23</v>
      </c>
      <c r="C6993" s="26" t="str">
        <f>VLOOKUP(Tabela1[[#This Row],[Cliente]],'BASE DE CLIENTES'!A:E,2,0)</f>
        <v>Brasília</v>
      </c>
      <c r="D6993" s="26" t="str">
        <f>VLOOKUP(Tabela1[[#This Row],[Cliente]],'BASE DE CLIENTES'!A:C,3,0)</f>
        <v>DF</v>
      </c>
      <c r="E6993" s="26" t="str">
        <f>CONCATENATE(Tabela1[[#This Row],[CIDADE]],",",Tabela1[[#This Row],[UF]])</f>
        <v>Brasília,DF</v>
      </c>
      <c r="F6993" s="12">
        <v>46211</v>
      </c>
      <c r="G6993" s="14">
        <v>486.18</v>
      </c>
      <c r="H6993" s="13">
        <v>750</v>
      </c>
      <c r="I6993" s="7">
        <f>Tabela1[[#This Row],[Valor total]]-Tabela1[[#This Row],[Valor custo]]</f>
        <v>263.82</v>
      </c>
      <c r="J6993" s="27">
        <f>Tabela1[[#This Row],[MARGEM BRUTA]]/Tabela1[[#This Row],[Valor total]]</f>
        <v>0.35176000000000002</v>
      </c>
      <c r="K6993" s="26" t="str">
        <f>VLOOKUP(Tabela1[[#This Row],[Cliente]],'BASE DE CLIENTES'!A:D,4,0)</f>
        <v>EMPRESA SEM MAQUINA</v>
      </c>
      <c r="L6993" s="26" t="str">
        <f>VLOOKUP(Tabela1[[#This Row],[Cliente]],'BASE DE CLIENTES'!A:E,5,0)</f>
        <v>SETOR INDUSTRIAL (TAGUATINGA)</v>
      </c>
    </row>
    <row r="6994" spans="2:12" x14ac:dyDescent="0.3">
      <c r="B6994" t="s">
        <v>1223</v>
      </c>
      <c r="C6994" s="26" t="str">
        <f>VLOOKUP(Tabela1[[#This Row],[Cliente]],'BASE DE CLIENTES'!A:E,2,0)</f>
        <v>MERCADO LIVRE</v>
      </c>
      <c r="D6994" s="26" t="str">
        <f>VLOOKUP(Tabela1[[#This Row],[Cliente]],'BASE DE CLIENTES'!A:C,3,0)</f>
        <v>MERCADO LIVRE</v>
      </c>
      <c r="E6994" s="26" t="str">
        <f>CONCATENATE(Tabela1[[#This Row],[CIDADE]],",",Tabela1[[#This Row],[UF]])</f>
        <v>MERCADO LIVRE,MERCADO LIVRE</v>
      </c>
      <c r="F6994" s="12">
        <v>46211</v>
      </c>
      <c r="G6994" s="14">
        <v>56.28</v>
      </c>
      <c r="H6994" s="13">
        <v>198.93</v>
      </c>
      <c r="I6994" s="7">
        <f>Tabela1[[#This Row],[Valor total]]-Tabela1[[#This Row],[Valor custo]]</f>
        <v>142.65</v>
      </c>
      <c r="J6994" s="27">
        <f>Tabela1[[#This Row],[MARGEM BRUTA]]/Tabela1[[#This Row],[Valor total]]</f>
        <v>0.71708641230583625</v>
      </c>
      <c r="K6994" s="26" t="str">
        <f>VLOOKUP(Tabela1[[#This Row],[Cliente]],'BASE DE CLIENTES'!A:D,4,0)</f>
        <v>OUTROS RAMOS</v>
      </c>
      <c r="L6994" s="26" t="str">
        <f>VLOOKUP(Tabela1[[#This Row],[Cliente]],'BASE DE CLIENTES'!A:E,5,0)</f>
        <v>MERCADO LIVRE</v>
      </c>
    </row>
    <row r="6995" spans="2:12" x14ac:dyDescent="0.3">
      <c r="B6995" t="s">
        <v>130</v>
      </c>
      <c r="C6995" s="26" t="str">
        <f>VLOOKUP(Tabela1[[#This Row],[Cliente]],'BASE DE CLIENTES'!A:E,2,0)</f>
        <v>Brasília</v>
      </c>
      <c r="D6995" s="26" t="str">
        <f>VLOOKUP(Tabela1[[#This Row],[Cliente]],'BASE DE CLIENTES'!A:C,3,0)</f>
        <v>DF</v>
      </c>
      <c r="E6995" s="26" t="str">
        <f>CONCATENATE(Tabela1[[#This Row],[CIDADE]],",",Tabela1[[#This Row],[UF]])</f>
        <v>Brasília,DF</v>
      </c>
      <c r="F6995" s="12">
        <v>46211</v>
      </c>
      <c r="G6995" s="14">
        <v>112.56</v>
      </c>
      <c r="H6995" s="13">
        <v>300</v>
      </c>
      <c r="I6995" s="7">
        <f>Tabela1[[#This Row],[Valor total]]-Tabela1[[#This Row],[Valor custo]]</f>
        <v>187.44</v>
      </c>
      <c r="J6995" s="27">
        <f>Tabela1[[#This Row],[MARGEM BRUTA]]/Tabela1[[#This Row],[Valor total]]</f>
        <v>0.62480000000000002</v>
      </c>
      <c r="K6995" s="26" t="str">
        <f>VLOOKUP(Tabela1[[#This Row],[Cliente]],'BASE DE CLIENTES'!A:D,4,0)</f>
        <v>EMPRESA SEM MAQUINA</v>
      </c>
      <c r="L6995" s="26" t="str">
        <f>VLOOKUP(Tabela1[[#This Row],[Cliente]],'BASE DE CLIENTES'!A:E,5,0)</f>
        <v>CEILANDIA NORTE (CEILANDIA)</v>
      </c>
    </row>
    <row r="6996" spans="2:12" x14ac:dyDescent="0.3">
      <c r="B6996" t="s">
        <v>297</v>
      </c>
      <c r="C6996" s="26" t="str">
        <f>VLOOKUP(Tabela1[[#This Row],[Cliente]],'BASE DE CLIENTES'!A:E,2,0)</f>
        <v>Brasília</v>
      </c>
      <c r="D6996" s="26" t="str">
        <f>VLOOKUP(Tabela1[[#This Row],[Cliente]],'BASE DE CLIENTES'!A:C,3,0)</f>
        <v>DF</v>
      </c>
      <c r="E6996" s="26" t="str">
        <f>CONCATENATE(Tabela1[[#This Row],[CIDADE]],",",Tabela1[[#This Row],[UF]])</f>
        <v>Brasília,DF</v>
      </c>
      <c r="F6996" s="12">
        <v>46211</v>
      </c>
      <c r="G6996" s="14">
        <v>463.69</v>
      </c>
      <c r="H6996" s="13">
        <v>765</v>
      </c>
      <c r="I6996" s="7">
        <f>Tabela1[[#This Row],[Valor total]]-Tabela1[[#This Row],[Valor custo]]</f>
        <v>301.31</v>
      </c>
      <c r="J6996" s="27">
        <f>Tabela1[[#This Row],[MARGEM BRUTA]]/Tabela1[[#This Row],[Valor total]]</f>
        <v>0.39386928104575164</v>
      </c>
      <c r="K6996" s="26" t="str">
        <f>VLOOKUP(Tabela1[[#This Row],[Cliente]],'BASE DE CLIENTES'!A:D,4,0)</f>
        <v>SERRALHEIRO</v>
      </c>
      <c r="L6996" s="26" t="str">
        <f>VLOOKUP(Tabela1[[#This Row],[Cliente]],'BASE DE CLIENTES'!A:E,5,0)</f>
        <v>NA</v>
      </c>
    </row>
    <row r="6997" spans="2:12" x14ac:dyDescent="0.3">
      <c r="B6997" t="s">
        <v>15</v>
      </c>
      <c r="C6997" s="26" t="str">
        <f>VLOOKUP(Tabela1[[#This Row],[Cliente]],'BASE DE CLIENTES'!A:E,2,0)</f>
        <v>Brasília</v>
      </c>
      <c r="D6997" s="26" t="str">
        <f>VLOOKUP(Tabela1[[#This Row],[Cliente]],'BASE DE CLIENTES'!A:C,3,0)</f>
        <v>DF</v>
      </c>
      <c r="E6997" s="26" t="str">
        <f>CONCATENATE(Tabela1[[#This Row],[CIDADE]],",",Tabela1[[#This Row],[UF]])</f>
        <v>Brasília,DF</v>
      </c>
      <c r="F6997" s="12">
        <v>46211</v>
      </c>
      <c r="G6997" s="14">
        <v>0</v>
      </c>
      <c r="H6997" s="13">
        <v>200</v>
      </c>
      <c r="I6997" s="7">
        <f>Tabela1[[#This Row],[Valor total]]-Tabela1[[#This Row],[Valor custo]]</f>
        <v>200</v>
      </c>
      <c r="J6997" s="27">
        <f>Tabela1[[#This Row],[MARGEM BRUTA]]/Tabela1[[#This Row],[Valor total]]</f>
        <v>1</v>
      </c>
      <c r="K6997" s="26" t="str">
        <f>VLOOKUP(Tabela1[[#This Row],[Cliente]],'BASE DE CLIENTES'!A:D,4,0)</f>
        <v>SERRALHEIRO</v>
      </c>
      <c r="L6997" s="26" t="str">
        <f>VLOOKUP(Tabela1[[#This Row],[Cliente]],'BASE DE CLIENTES'!A:E,5,0)</f>
        <v>SETOR HABITACIONAL VICENTE PIRES</v>
      </c>
    </row>
    <row r="6998" spans="2:12" x14ac:dyDescent="0.3">
      <c r="B6998" t="s">
        <v>68</v>
      </c>
      <c r="C6998" s="26" t="str">
        <f>VLOOKUP(Tabela1[[#This Row],[Cliente]],'BASE DE CLIENTES'!A:E,2,0)</f>
        <v>Brasília</v>
      </c>
      <c r="D6998" s="26" t="str">
        <f>VLOOKUP(Tabela1[[#This Row],[Cliente]],'BASE DE CLIENTES'!A:C,3,0)</f>
        <v>DF</v>
      </c>
      <c r="E6998" s="26" t="str">
        <f>CONCATENATE(Tabela1[[#This Row],[CIDADE]],",",Tabela1[[#This Row],[UF]])</f>
        <v>Brasília,DF</v>
      </c>
      <c r="F6998" s="12">
        <v>46211</v>
      </c>
      <c r="G6998" s="14">
        <v>1540.58</v>
      </c>
      <c r="H6998" s="13">
        <v>2365</v>
      </c>
      <c r="I6998" s="7">
        <f>Tabela1[[#This Row],[Valor total]]-Tabela1[[#This Row],[Valor custo]]</f>
        <v>824.42000000000007</v>
      </c>
      <c r="J6998" s="27">
        <f>Tabela1[[#This Row],[MARGEM BRUTA]]/Tabela1[[#This Row],[Valor total]]</f>
        <v>0.34859196617336158</v>
      </c>
      <c r="K6998" s="26" t="str">
        <f>VLOOKUP(Tabela1[[#This Row],[Cliente]],'BASE DE CLIENTES'!A:D,4,0)</f>
        <v>EMPRESA COM MAQUINA</v>
      </c>
      <c r="L6998" s="26" t="str">
        <f>VLOOKUP(Tabela1[[#This Row],[Cliente]],'BASE DE CLIENTES'!A:E,5,0)</f>
        <v>SAMAMBAIA SUL (SAMAMBAIA)</v>
      </c>
    </row>
    <row r="6999" spans="2:12" x14ac:dyDescent="0.3">
      <c r="B6999" t="s">
        <v>391</v>
      </c>
      <c r="C6999" s="26" t="str">
        <f>VLOOKUP(Tabela1[[#This Row],[Cliente]],'BASE DE CLIENTES'!A:E,2,0)</f>
        <v>Brasília</v>
      </c>
      <c r="D6999" s="26" t="str">
        <f>VLOOKUP(Tabela1[[#This Row],[Cliente]],'BASE DE CLIENTES'!A:C,3,0)</f>
        <v>DF</v>
      </c>
      <c r="E6999" s="26" t="str">
        <f>CONCATENATE(Tabela1[[#This Row],[CIDADE]],",",Tabela1[[#This Row],[UF]])</f>
        <v>Brasília,DF</v>
      </c>
      <c r="F6999" s="12">
        <v>46211</v>
      </c>
      <c r="G6999" s="14">
        <v>38</v>
      </c>
      <c r="H6999" s="13">
        <v>200</v>
      </c>
      <c r="I6999" s="7">
        <f>Tabela1[[#This Row],[Valor total]]-Tabela1[[#This Row],[Valor custo]]</f>
        <v>162</v>
      </c>
      <c r="J6999" s="27">
        <f>Tabela1[[#This Row],[MARGEM BRUTA]]/Tabela1[[#This Row],[Valor total]]</f>
        <v>0.81</v>
      </c>
      <c r="K6999" s="26" t="str">
        <f>VLOOKUP(Tabela1[[#This Row],[Cliente]],'BASE DE CLIENTES'!A:D,4,0)</f>
        <v>SEM CLASSIFICAÇÃO</v>
      </c>
      <c r="L6999" s="26" t="str">
        <f>VLOOKUP(Tabela1[[#This Row],[Cliente]],'BASE DE CLIENTES'!A:E,5,0)</f>
        <v>ASA SUL</v>
      </c>
    </row>
    <row r="7000" spans="2:12" x14ac:dyDescent="0.3">
      <c r="B7000" t="s">
        <v>36</v>
      </c>
      <c r="C7000" s="26" t="str">
        <f>VLOOKUP(Tabela1[[#This Row],[Cliente]],'BASE DE CLIENTES'!A:E,2,0)</f>
        <v>Brasília</v>
      </c>
      <c r="D7000" s="26" t="str">
        <f>VLOOKUP(Tabela1[[#This Row],[Cliente]],'BASE DE CLIENTES'!A:C,3,0)</f>
        <v>DF</v>
      </c>
      <c r="E7000" s="26" t="str">
        <f>CONCATENATE(Tabela1[[#This Row],[CIDADE]],",",Tabela1[[#This Row],[UF]])</f>
        <v>Brasília,DF</v>
      </c>
      <c r="F7000" s="12">
        <v>46211</v>
      </c>
      <c r="G7000" s="14">
        <v>15.2</v>
      </c>
      <c r="H7000" s="13">
        <v>60</v>
      </c>
      <c r="I7000" s="7">
        <f>Tabela1[[#This Row],[Valor total]]-Tabela1[[#This Row],[Valor custo]]</f>
        <v>44.8</v>
      </c>
      <c r="J7000" s="27">
        <f>Tabela1[[#This Row],[MARGEM BRUTA]]/Tabela1[[#This Row],[Valor total]]</f>
        <v>0.74666666666666659</v>
      </c>
      <c r="K7000" s="26" t="str">
        <f>VLOOKUP(Tabela1[[#This Row],[Cliente]],'BASE DE CLIENTES'!A:D,4,0)</f>
        <v>SERRALHEIRO</v>
      </c>
      <c r="L7000" s="26" t="str">
        <f>VLOOKUP(Tabela1[[#This Row],[Cliente]],'BASE DE CLIENTES'!A:E,5,0)</f>
        <v>CEILANDIA SUL (CEILANDIA)</v>
      </c>
    </row>
    <row r="7001" spans="2:12" x14ac:dyDescent="0.3">
      <c r="B7001" t="s">
        <v>1221</v>
      </c>
      <c r="C7001" s="26" t="str">
        <f>VLOOKUP(Tabela1[[#This Row],[Cliente]],'BASE DE CLIENTES'!A:E,2,0)</f>
        <v>Brasília</v>
      </c>
      <c r="D7001" s="26" t="str">
        <f>VLOOKUP(Tabela1[[#This Row],[Cliente]],'BASE DE CLIENTES'!A:C,3,0)</f>
        <v>DF</v>
      </c>
      <c r="E7001" s="26" t="str">
        <f>CONCATENATE(Tabela1[[#This Row],[CIDADE]],",",Tabela1[[#This Row],[UF]])</f>
        <v>Brasília,DF</v>
      </c>
      <c r="F7001" s="12">
        <v>46211</v>
      </c>
      <c r="G7001" s="14">
        <v>200</v>
      </c>
      <c r="H7001" s="13">
        <v>260</v>
      </c>
      <c r="I7001" s="7">
        <f>Tabela1[[#This Row],[Valor total]]-Tabela1[[#This Row],[Valor custo]]</f>
        <v>60</v>
      </c>
      <c r="J7001" s="27">
        <f>Tabela1[[#This Row],[MARGEM BRUTA]]/Tabela1[[#This Row],[Valor total]]</f>
        <v>0.23076923076923078</v>
      </c>
      <c r="K7001" s="26" t="str">
        <f>VLOOKUP(Tabela1[[#This Row],[Cliente]],'BASE DE CLIENTES'!A:D,4,0)</f>
        <v>CLIENTE NOVO S/ IDENT.</v>
      </c>
      <c r="L7001" s="26" t="str">
        <f>VLOOKUP(Tabela1[[#This Row],[Cliente]],'BASE DE CLIENTES'!A:E,5,0)</f>
        <v>SAMAMBAIA SUL</v>
      </c>
    </row>
    <row r="7002" spans="2:12" x14ac:dyDescent="0.3">
      <c r="B7002" t="s">
        <v>52</v>
      </c>
      <c r="C7002" s="26" t="str">
        <f>VLOOKUP(Tabela1[[#This Row],[Cliente]],'BASE DE CLIENTES'!A:E,2,0)</f>
        <v>Brasília</v>
      </c>
      <c r="D7002" s="26" t="str">
        <f>VLOOKUP(Tabela1[[#This Row],[Cliente]],'BASE DE CLIENTES'!A:C,3,0)</f>
        <v>DF</v>
      </c>
      <c r="E7002" s="26" t="str">
        <f>CONCATENATE(Tabela1[[#This Row],[CIDADE]],",",Tabela1[[#This Row],[UF]])</f>
        <v>Brasília,DF</v>
      </c>
      <c r="F7002" s="12">
        <v>46211</v>
      </c>
      <c r="G7002" s="14">
        <v>15.2</v>
      </c>
      <c r="H7002" s="13">
        <v>70</v>
      </c>
      <c r="I7002" s="7">
        <f>Tabela1[[#This Row],[Valor total]]-Tabela1[[#This Row],[Valor custo]]</f>
        <v>54.8</v>
      </c>
      <c r="J7002" s="27">
        <f>Tabela1[[#This Row],[MARGEM BRUTA]]/Tabela1[[#This Row],[Valor total]]</f>
        <v>0.78285714285714281</v>
      </c>
      <c r="K7002" s="26" t="str">
        <f>VLOOKUP(Tabela1[[#This Row],[Cliente]],'BASE DE CLIENTES'!A:D,4,0)</f>
        <v>SERRALHEIRO</v>
      </c>
      <c r="L7002" s="26" t="str">
        <f>VLOOKUP(Tabela1[[#This Row],[Cliente]],'BASE DE CLIENTES'!A:E,5,0)</f>
        <v>Ceilândia Sul (Ceilândia)</v>
      </c>
    </row>
    <row r="7003" spans="2:12" x14ac:dyDescent="0.3">
      <c r="B7003" t="s">
        <v>1202</v>
      </c>
      <c r="C7003" s="26" t="str">
        <f>VLOOKUP(Tabela1[[#This Row],[Cliente]],'BASE DE CLIENTES'!A:E,2,0)</f>
        <v>Brasília</v>
      </c>
      <c r="D7003" s="26" t="str">
        <f>VLOOKUP(Tabela1[[#This Row],[Cliente]],'BASE DE CLIENTES'!A:C,3,0)</f>
        <v>DF</v>
      </c>
      <c r="E7003" s="26" t="str">
        <f>CONCATENATE(Tabela1[[#This Row],[CIDADE]],",",Tabela1[[#This Row],[UF]])</f>
        <v>Brasília,DF</v>
      </c>
      <c r="F7003" s="12">
        <v>46211</v>
      </c>
      <c r="G7003" s="14">
        <v>486.18</v>
      </c>
      <c r="H7003" s="13">
        <v>840</v>
      </c>
      <c r="I7003" s="7">
        <f>Tabela1[[#This Row],[Valor total]]-Tabela1[[#This Row],[Valor custo]]</f>
        <v>353.82</v>
      </c>
      <c r="J7003" s="27">
        <f>Tabela1[[#This Row],[MARGEM BRUTA]]/Tabela1[[#This Row],[Valor total]]</f>
        <v>0.42121428571428571</v>
      </c>
      <c r="K7003" s="26" t="str">
        <f>VLOOKUP(Tabela1[[#This Row],[Cliente]],'BASE DE CLIENTES'!A:D,4,0)</f>
        <v>CLIENTE NOVO S/ IDENT.</v>
      </c>
      <c r="L7003" s="26" t="str">
        <f>VLOOKUP(Tabela1[[#This Row],[Cliente]],'BASE DE CLIENTES'!A:E,5,0)</f>
        <v>TAGUATINGA</v>
      </c>
    </row>
    <row r="7004" spans="2:12" x14ac:dyDescent="0.3">
      <c r="B7004" t="s">
        <v>1229</v>
      </c>
      <c r="C7004" s="26" t="str">
        <f>VLOOKUP(Tabela1[[#This Row],[Cliente]],'BASE DE CLIENTES'!A:E,2,0)</f>
        <v>Brasília</v>
      </c>
      <c r="D7004" s="26" t="str">
        <f>VLOOKUP(Tabela1[[#This Row],[Cliente]],'BASE DE CLIENTES'!A:C,3,0)</f>
        <v>DF</v>
      </c>
      <c r="E7004" s="26" t="str">
        <f>CONCATENATE(Tabela1[[#This Row],[CIDADE]],",",Tabela1[[#This Row],[UF]])</f>
        <v>Brasília,DF</v>
      </c>
      <c r="F7004" s="12">
        <v>46211</v>
      </c>
      <c r="G7004" s="14">
        <v>670</v>
      </c>
      <c r="H7004" s="13">
        <v>1200</v>
      </c>
      <c r="I7004" s="7">
        <f>Tabela1[[#This Row],[Valor total]]-Tabela1[[#This Row],[Valor custo]]</f>
        <v>530</v>
      </c>
      <c r="J7004" s="27">
        <f>Tabela1[[#This Row],[MARGEM BRUTA]]/Tabela1[[#This Row],[Valor total]]</f>
        <v>0.44166666666666665</v>
      </c>
      <c r="K7004" s="26" t="str">
        <f>VLOOKUP(Tabela1[[#This Row],[Cliente]],'BASE DE CLIENTES'!A:D,4,0)</f>
        <v>CLIENTE NOVO S/ IDENT.</v>
      </c>
      <c r="L7004" s="26" t="str">
        <f>VLOOKUP(Tabela1[[#This Row],[Cliente]],'BASE DE CLIENTES'!A:E,5,0)</f>
        <v>AREAL (AGUAS CLARAS)</v>
      </c>
    </row>
    <row r="7005" spans="2:12" x14ac:dyDescent="0.3">
      <c r="B7005" t="s">
        <v>108</v>
      </c>
      <c r="C7005" s="26" t="str">
        <f>VLOOKUP(Tabela1[[#This Row],[Cliente]],'BASE DE CLIENTES'!A:E,2,0)</f>
        <v>Brasília</v>
      </c>
      <c r="D7005" s="26" t="str">
        <f>VLOOKUP(Tabela1[[#This Row],[Cliente]],'BASE DE CLIENTES'!A:C,3,0)</f>
        <v>DF</v>
      </c>
      <c r="E7005" s="26" t="str">
        <f>CONCATENATE(Tabela1[[#This Row],[CIDADE]],",",Tabela1[[#This Row],[UF]])</f>
        <v>Brasília,DF</v>
      </c>
      <c r="F7005" s="12">
        <v>46211</v>
      </c>
      <c r="G7005" s="14">
        <v>525</v>
      </c>
      <c r="H7005" s="13">
        <v>780</v>
      </c>
      <c r="I7005" s="7">
        <f>Tabela1[[#This Row],[Valor total]]-Tabela1[[#This Row],[Valor custo]]</f>
        <v>255</v>
      </c>
      <c r="J7005" s="27">
        <f>Tabela1[[#This Row],[MARGEM BRUTA]]/Tabela1[[#This Row],[Valor total]]</f>
        <v>0.32692307692307693</v>
      </c>
      <c r="K7005" s="26" t="str">
        <f>VLOOKUP(Tabela1[[#This Row],[Cliente]],'BASE DE CLIENTES'!A:D,4,0)</f>
        <v>SERRALHEIRO</v>
      </c>
      <c r="L7005" s="26" t="str">
        <f>VLOOKUP(Tabela1[[#This Row],[Cliente]],'BASE DE CLIENTES'!A:E,5,0)</f>
        <v>Vila Planalto</v>
      </c>
    </row>
    <row r="7006" spans="2:12" x14ac:dyDescent="0.3">
      <c r="B7006" t="s">
        <v>30</v>
      </c>
      <c r="C7006" s="26" t="str">
        <f>VLOOKUP(Tabela1[[#This Row],[Cliente]],'BASE DE CLIENTES'!A:E,2,0)</f>
        <v>Águas Lindas de Goiás</v>
      </c>
      <c r="D7006" s="26" t="str">
        <f>VLOOKUP(Tabela1[[#This Row],[Cliente]],'BASE DE CLIENTES'!A:C,3,0)</f>
        <v>GO</v>
      </c>
      <c r="E7006" s="26" t="str">
        <f>CONCATENATE(Tabela1[[#This Row],[CIDADE]],",",Tabela1[[#This Row],[UF]])</f>
        <v>Águas Lindas de Goiás,GO</v>
      </c>
      <c r="F7006" s="12">
        <v>46211</v>
      </c>
      <c r="G7006" s="14">
        <v>670</v>
      </c>
      <c r="H7006" s="13">
        <v>485</v>
      </c>
      <c r="I7006" s="7">
        <f>Tabela1[[#This Row],[Valor total]]-Tabela1[[#This Row],[Valor custo]]</f>
        <v>-185</v>
      </c>
      <c r="J7006" s="27">
        <f>Tabela1[[#This Row],[MARGEM BRUTA]]/Tabela1[[#This Row],[Valor total]]</f>
        <v>-0.38144329896907214</v>
      </c>
      <c r="K7006" s="26" t="str">
        <f>VLOOKUP(Tabela1[[#This Row],[Cliente]],'BASE DE CLIENTES'!A:D,4,0)</f>
        <v>SERRALHEIRO</v>
      </c>
      <c r="L7006" s="26" t="str">
        <f>VLOOKUP(Tabela1[[#This Row],[Cliente]],'BASE DE CLIENTES'!A:E,5,0)</f>
        <v>Águas Lindas de Goiás</v>
      </c>
    </row>
    <row r="7007" spans="2:12" x14ac:dyDescent="0.3">
      <c r="B7007" t="s">
        <v>68</v>
      </c>
      <c r="C7007" s="26" t="str">
        <f>VLOOKUP(Tabela1[[#This Row],[Cliente]],'BASE DE CLIENTES'!A:E,2,0)</f>
        <v>Brasília</v>
      </c>
      <c r="D7007" s="26" t="str">
        <f>VLOOKUP(Tabela1[[#This Row],[Cliente]],'BASE DE CLIENTES'!A:C,3,0)</f>
        <v>DF</v>
      </c>
      <c r="E7007" s="26" t="str">
        <f>CONCATENATE(Tabela1[[#This Row],[CIDADE]],",",Tabela1[[#This Row],[UF]])</f>
        <v>Brasília,DF</v>
      </c>
      <c r="F7007" s="12">
        <v>46211</v>
      </c>
      <c r="G7007" s="14">
        <v>760</v>
      </c>
      <c r="H7007" s="13">
        <v>1170</v>
      </c>
      <c r="I7007" s="7">
        <f>Tabela1[[#This Row],[Valor total]]-Tabela1[[#This Row],[Valor custo]]</f>
        <v>410</v>
      </c>
      <c r="J7007" s="27">
        <f>Tabela1[[#This Row],[MARGEM BRUTA]]/Tabela1[[#This Row],[Valor total]]</f>
        <v>0.3504273504273504</v>
      </c>
      <c r="K7007" s="26" t="str">
        <f>VLOOKUP(Tabela1[[#This Row],[Cliente]],'BASE DE CLIENTES'!A:D,4,0)</f>
        <v>EMPRESA COM MAQUINA</v>
      </c>
      <c r="L7007" s="26" t="str">
        <f>VLOOKUP(Tabela1[[#This Row],[Cliente]],'BASE DE CLIENTES'!A:E,5,0)</f>
        <v>SAMAMBAIA SUL (SAMAMBAIA)</v>
      </c>
    </row>
    <row r="7008" spans="2:12" x14ac:dyDescent="0.3">
      <c r="B7008" t="s">
        <v>255</v>
      </c>
      <c r="C7008" s="26" t="str">
        <f>VLOOKUP(Tabela1[[#This Row],[Cliente]],'BASE DE CLIENTES'!A:E,2,0)</f>
        <v>Brasília</v>
      </c>
      <c r="D7008" s="26" t="str">
        <f>VLOOKUP(Tabela1[[#This Row],[Cliente]],'BASE DE CLIENTES'!A:C,3,0)</f>
        <v>DF</v>
      </c>
      <c r="E7008" s="26" t="str">
        <f>CONCATENATE(Tabela1[[#This Row],[CIDADE]],",",Tabela1[[#This Row],[UF]])</f>
        <v>Brasília,DF</v>
      </c>
      <c r="F7008" s="12">
        <v>46211</v>
      </c>
      <c r="G7008" s="14">
        <v>926.79</v>
      </c>
      <c r="H7008" s="13">
        <v>1485</v>
      </c>
      <c r="I7008" s="7">
        <f>Tabela1[[#This Row],[Valor total]]-Tabela1[[#This Row],[Valor custo]]</f>
        <v>558.21</v>
      </c>
      <c r="J7008" s="27">
        <f>Tabela1[[#This Row],[MARGEM BRUTA]]/Tabela1[[#This Row],[Valor total]]</f>
        <v>0.3758989898989899</v>
      </c>
      <c r="K7008" s="26" t="str">
        <f>VLOOKUP(Tabela1[[#This Row],[Cliente]],'BASE DE CLIENTES'!A:D,4,0)</f>
        <v>EMPRESA COM MAQUINA</v>
      </c>
      <c r="L7008" s="26" t="str">
        <f>VLOOKUP(Tabela1[[#This Row],[Cliente]],'BASE DE CLIENTES'!A:E,5,0)</f>
        <v>ADE ÁGUAS CLARAS</v>
      </c>
    </row>
    <row r="7009" spans="2:12" x14ac:dyDescent="0.3">
      <c r="B7009" t="s">
        <v>111</v>
      </c>
      <c r="C7009" s="26" t="str">
        <f>VLOOKUP(Tabela1[[#This Row],[Cliente]],'BASE DE CLIENTES'!A:E,2,0)</f>
        <v>Brasília</v>
      </c>
      <c r="D7009" s="26" t="str">
        <f>VLOOKUP(Tabela1[[#This Row],[Cliente]],'BASE DE CLIENTES'!A:C,3,0)</f>
        <v>DF</v>
      </c>
      <c r="E7009" s="26" t="str">
        <f>CONCATENATE(Tabela1[[#This Row],[CIDADE]],",",Tabela1[[#This Row],[UF]])</f>
        <v>Brasília,DF</v>
      </c>
      <c r="F7009" s="12">
        <v>46211</v>
      </c>
      <c r="G7009" s="14">
        <v>231.28</v>
      </c>
      <c r="H7009" s="13">
        <v>380</v>
      </c>
      <c r="I7009" s="7">
        <f>Tabela1[[#This Row],[Valor total]]-Tabela1[[#This Row],[Valor custo]]</f>
        <v>148.72</v>
      </c>
      <c r="J7009" s="27">
        <f>Tabela1[[#This Row],[MARGEM BRUTA]]/Tabela1[[#This Row],[Valor total]]</f>
        <v>0.39136842105263159</v>
      </c>
      <c r="K7009" s="26" t="str">
        <f>VLOOKUP(Tabela1[[#This Row],[Cliente]],'BASE DE CLIENTES'!A:D,4,0)</f>
        <v>EMPRESA SEM MAQUINA</v>
      </c>
      <c r="L7009" s="26" t="str">
        <f>VLOOKUP(Tabela1[[#This Row],[Cliente]],'BASE DE CLIENTES'!A:E,5,0)</f>
        <v>TAGUATINGA SUL (TAGUATINGA)</v>
      </c>
    </row>
    <row r="7010" spans="2:12" x14ac:dyDescent="0.3">
      <c r="B7010" t="s">
        <v>1223</v>
      </c>
      <c r="C7010" s="26" t="str">
        <f>VLOOKUP(Tabela1[[#This Row],[Cliente]],'BASE DE CLIENTES'!A:E,2,0)</f>
        <v>MERCADO LIVRE</v>
      </c>
      <c r="D7010" s="26" t="str">
        <f>VLOOKUP(Tabela1[[#This Row],[Cliente]],'BASE DE CLIENTES'!A:C,3,0)</f>
        <v>MERCADO LIVRE</v>
      </c>
      <c r="E7010" s="26" t="str">
        <f>CONCATENATE(Tabela1[[#This Row],[CIDADE]],",",Tabela1[[#This Row],[UF]])</f>
        <v>MERCADO LIVRE,MERCADO LIVRE</v>
      </c>
      <c r="F7010" s="12">
        <v>46211</v>
      </c>
      <c r="G7010" s="14">
        <v>167.8</v>
      </c>
      <c r="H7010" s="13">
        <v>254.6</v>
      </c>
      <c r="I7010" s="7">
        <f>Tabela1[[#This Row],[Valor total]]-Tabela1[[#This Row],[Valor custo]]</f>
        <v>86.799999999999983</v>
      </c>
      <c r="J7010" s="27">
        <f>Tabela1[[#This Row],[MARGEM BRUTA]]/Tabela1[[#This Row],[Valor total]]</f>
        <v>0.34092694422623715</v>
      </c>
      <c r="K7010" s="26" t="str">
        <f>VLOOKUP(Tabela1[[#This Row],[Cliente]],'BASE DE CLIENTES'!A:D,4,0)</f>
        <v>OUTROS RAMOS</v>
      </c>
      <c r="L7010" s="26" t="str">
        <f>VLOOKUP(Tabela1[[#This Row],[Cliente]],'BASE DE CLIENTES'!A:E,5,0)</f>
        <v>MERCADO LIVRE</v>
      </c>
    </row>
    <row r="7011" spans="2:12" x14ac:dyDescent="0.3">
      <c r="B7011" t="s">
        <v>1223</v>
      </c>
      <c r="C7011" s="26" t="str">
        <f>VLOOKUP(Tabela1[[#This Row],[Cliente]],'BASE DE CLIENTES'!A:E,2,0)</f>
        <v>MERCADO LIVRE</v>
      </c>
      <c r="D7011" s="26" t="str">
        <f>VLOOKUP(Tabela1[[#This Row],[Cliente]],'BASE DE CLIENTES'!A:C,3,0)</f>
        <v>MERCADO LIVRE</v>
      </c>
      <c r="E7011" s="26" t="str">
        <f>CONCATENATE(Tabela1[[#This Row],[CIDADE]],",",Tabela1[[#This Row],[UF]])</f>
        <v>MERCADO LIVRE,MERCADO LIVRE</v>
      </c>
      <c r="F7011" s="12">
        <v>46211</v>
      </c>
      <c r="G7011" s="14">
        <v>89.84</v>
      </c>
      <c r="H7011" s="13">
        <v>227.79</v>
      </c>
      <c r="I7011" s="7">
        <f>Tabela1[[#This Row],[Valor total]]-Tabela1[[#This Row],[Valor custo]]</f>
        <v>137.94999999999999</v>
      </c>
      <c r="J7011" s="27">
        <f>Tabela1[[#This Row],[MARGEM BRUTA]]/Tabela1[[#This Row],[Valor total]]</f>
        <v>0.6056016506431362</v>
      </c>
      <c r="K7011" s="26" t="str">
        <f>VLOOKUP(Tabela1[[#This Row],[Cliente]],'BASE DE CLIENTES'!A:D,4,0)</f>
        <v>OUTROS RAMOS</v>
      </c>
      <c r="L7011" s="26" t="str">
        <f>VLOOKUP(Tabela1[[#This Row],[Cliente]],'BASE DE CLIENTES'!A:E,5,0)</f>
        <v>MERCADO LIVRE</v>
      </c>
    </row>
    <row r="7012" spans="2:12" x14ac:dyDescent="0.3">
      <c r="B7012" t="s">
        <v>1223</v>
      </c>
      <c r="C7012" s="26" t="str">
        <f>VLOOKUP(Tabela1[[#This Row],[Cliente]],'BASE DE CLIENTES'!A:E,2,0)</f>
        <v>MERCADO LIVRE</v>
      </c>
      <c r="D7012" s="26" t="str">
        <f>VLOOKUP(Tabela1[[#This Row],[Cliente]],'BASE DE CLIENTES'!A:C,3,0)</f>
        <v>MERCADO LIVRE</v>
      </c>
      <c r="E7012" s="26" t="str">
        <f>CONCATENATE(Tabela1[[#This Row],[CIDADE]],",",Tabela1[[#This Row],[UF]])</f>
        <v>MERCADO LIVRE,MERCADO LIVRE</v>
      </c>
      <c r="F7012" s="12">
        <v>46211</v>
      </c>
      <c r="G7012" s="14">
        <v>0</v>
      </c>
      <c r="H7012" s="13">
        <v>122.16</v>
      </c>
      <c r="I7012" s="7">
        <f>Tabela1[[#This Row],[Valor total]]-Tabela1[[#This Row],[Valor custo]]</f>
        <v>122.16</v>
      </c>
      <c r="J7012" s="27">
        <f>Tabela1[[#This Row],[MARGEM BRUTA]]/Tabela1[[#This Row],[Valor total]]</f>
        <v>1</v>
      </c>
      <c r="K7012" s="26" t="str">
        <f>VLOOKUP(Tabela1[[#This Row],[Cliente]],'BASE DE CLIENTES'!A:D,4,0)</f>
        <v>OUTROS RAMOS</v>
      </c>
      <c r="L7012" s="26" t="str">
        <f>VLOOKUP(Tabela1[[#This Row],[Cliente]],'BASE DE CLIENTES'!A:E,5,0)</f>
        <v>MERCADO LIVRE</v>
      </c>
    </row>
    <row r="7013" spans="2:12" x14ac:dyDescent="0.3">
      <c r="B7013" t="s">
        <v>42</v>
      </c>
      <c r="C7013" s="26" t="str">
        <f>VLOOKUP(Tabela1[[#This Row],[Cliente]],'BASE DE CLIENTES'!A:E,2,0)</f>
        <v>Brasília</v>
      </c>
      <c r="D7013" s="26" t="str">
        <f>VLOOKUP(Tabela1[[#This Row],[Cliente]],'BASE DE CLIENTES'!A:C,3,0)</f>
        <v>DF</v>
      </c>
      <c r="E7013" s="26" t="str">
        <f>CONCATENATE(Tabela1[[#This Row],[CIDADE]],",",Tabela1[[#This Row],[UF]])</f>
        <v>Brasília,DF</v>
      </c>
      <c r="F7013" s="12">
        <v>46211</v>
      </c>
      <c r="G7013" s="14">
        <v>1374.83</v>
      </c>
      <c r="H7013" s="13">
        <v>2130</v>
      </c>
      <c r="I7013" s="7">
        <f>Tabela1[[#This Row],[Valor total]]-Tabela1[[#This Row],[Valor custo]]</f>
        <v>755.17000000000007</v>
      </c>
      <c r="J7013" s="27">
        <f>Tabela1[[#This Row],[MARGEM BRUTA]]/Tabela1[[#This Row],[Valor total]]</f>
        <v>0.3545399061032864</v>
      </c>
      <c r="K7013" s="26" t="str">
        <f>VLOOKUP(Tabela1[[#This Row],[Cliente]],'BASE DE CLIENTES'!A:D,4,0)</f>
        <v>EMPRESA SEM MAQUINA</v>
      </c>
      <c r="L7013" s="26" t="str">
        <f>VLOOKUP(Tabela1[[#This Row],[Cliente]],'BASE DE CLIENTES'!A:E,5,0)</f>
        <v>SAMAMBAIA</v>
      </c>
    </row>
    <row r="7014" spans="2:12" x14ac:dyDescent="0.3">
      <c r="B7014" t="s">
        <v>206</v>
      </c>
      <c r="C7014" s="26" t="str">
        <f>VLOOKUP(Tabela1[[#This Row],[Cliente]],'BASE DE CLIENTES'!A:E,2,0)</f>
        <v>Goiânia</v>
      </c>
      <c r="D7014" s="26" t="str">
        <f>VLOOKUP(Tabela1[[#This Row],[Cliente]],'BASE DE CLIENTES'!A:C,3,0)</f>
        <v>GO</v>
      </c>
      <c r="E7014" s="26" t="str">
        <f>CONCATENATE(Tabela1[[#This Row],[CIDADE]],",",Tabela1[[#This Row],[UF]])</f>
        <v>Goiânia,GO</v>
      </c>
      <c r="F7014" s="12">
        <v>46210</v>
      </c>
      <c r="G7014" s="14">
        <v>12470.16</v>
      </c>
      <c r="H7014" s="13">
        <v>19380</v>
      </c>
      <c r="I7014" s="7">
        <f>Tabela1[[#This Row],[Valor total]]-Tabela1[[#This Row],[Valor custo]]</f>
        <v>6909.84</v>
      </c>
      <c r="J7014" s="27">
        <f>Tabela1[[#This Row],[MARGEM BRUTA]]/Tabela1[[#This Row],[Valor total]]</f>
        <v>0.35654489164086689</v>
      </c>
      <c r="K7014" s="26" t="str">
        <f>VLOOKUP(Tabela1[[#This Row],[Cliente]],'BASE DE CLIENTES'!A:D,4,0)</f>
        <v>EMPRESA COM MAQUINA</v>
      </c>
      <c r="L7014" s="26" t="str">
        <f>VLOOKUP(Tabela1[[#This Row],[Cliente]],'BASE DE CLIENTES'!A:E,5,0)</f>
        <v>Goiânia</v>
      </c>
    </row>
    <row r="7015" spans="2:12" x14ac:dyDescent="0.3">
      <c r="B7015" t="s">
        <v>309</v>
      </c>
      <c r="C7015" s="26" t="str">
        <f>VLOOKUP(Tabela1[[#This Row],[Cliente]],'BASE DE CLIENTES'!A:E,2,0)</f>
        <v>Uberlândia</v>
      </c>
      <c r="D7015" s="26" t="str">
        <f>VLOOKUP(Tabela1[[#This Row],[Cliente]],'BASE DE CLIENTES'!A:C,3,0)</f>
        <v>MG</v>
      </c>
      <c r="E7015" s="26" t="str">
        <f>CONCATENATE(Tabela1[[#This Row],[CIDADE]],",",Tabela1[[#This Row],[UF]])</f>
        <v>Uberlândia,MG</v>
      </c>
      <c r="F7015" s="12">
        <v>46210</v>
      </c>
      <c r="G7015" s="14">
        <v>3811.79</v>
      </c>
      <c r="H7015" s="13">
        <v>5720</v>
      </c>
      <c r="I7015" s="7">
        <f>Tabela1[[#This Row],[Valor total]]-Tabela1[[#This Row],[Valor custo]]</f>
        <v>1908.21</v>
      </c>
      <c r="J7015" s="27">
        <f>Tabela1[[#This Row],[MARGEM BRUTA]]/Tabela1[[#This Row],[Valor total]]</f>
        <v>0.33360314685314685</v>
      </c>
      <c r="K7015" s="26" t="str">
        <f>VLOOKUP(Tabela1[[#This Row],[Cliente]],'BASE DE CLIENTES'!A:D,4,0)</f>
        <v>EMPRESA COM MAQUINA</v>
      </c>
      <c r="L7015" s="26" t="str">
        <f>VLOOKUP(Tabela1[[#This Row],[Cliente]],'BASE DE CLIENTES'!A:E,5,0)</f>
        <v>Uberlândia</v>
      </c>
    </row>
    <row r="7016" spans="2:12" x14ac:dyDescent="0.3">
      <c r="B7016" t="s">
        <v>68</v>
      </c>
      <c r="C7016" s="26" t="str">
        <f>VLOOKUP(Tabela1[[#This Row],[Cliente]],'BASE DE CLIENTES'!A:E,2,0)</f>
        <v>Brasília</v>
      </c>
      <c r="D7016" s="26" t="str">
        <f>VLOOKUP(Tabela1[[#This Row],[Cliente]],'BASE DE CLIENTES'!A:C,3,0)</f>
        <v>DF</v>
      </c>
      <c r="E7016" s="26" t="str">
        <f>CONCATENATE(Tabela1[[#This Row],[CIDADE]],",",Tabela1[[#This Row],[UF]])</f>
        <v>Brasília,DF</v>
      </c>
      <c r="F7016" s="12">
        <v>46210</v>
      </c>
      <c r="G7016" s="14">
        <v>380</v>
      </c>
      <c r="H7016" s="13">
        <v>705</v>
      </c>
      <c r="I7016" s="7">
        <f>Tabela1[[#This Row],[Valor total]]-Tabela1[[#This Row],[Valor custo]]</f>
        <v>325</v>
      </c>
      <c r="J7016" s="27">
        <f>Tabela1[[#This Row],[MARGEM BRUTA]]/Tabela1[[#This Row],[Valor total]]</f>
        <v>0.46099290780141844</v>
      </c>
      <c r="K7016" s="26" t="str">
        <f>VLOOKUP(Tabela1[[#This Row],[Cliente]],'BASE DE CLIENTES'!A:D,4,0)</f>
        <v>EMPRESA COM MAQUINA</v>
      </c>
      <c r="L7016" s="26" t="str">
        <f>VLOOKUP(Tabela1[[#This Row],[Cliente]],'BASE DE CLIENTES'!A:E,5,0)</f>
        <v>SAMAMBAIA SUL (SAMAMBAIA)</v>
      </c>
    </row>
    <row r="7017" spans="2:12" x14ac:dyDescent="0.3">
      <c r="B7017" t="s">
        <v>111</v>
      </c>
      <c r="C7017" s="26" t="str">
        <f>VLOOKUP(Tabela1[[#This Row],[Cliente]],'BASE DE CLIENTES'!A:E,2,0)</f>
        <v>Brasília</v>
      </c>
      <c r="D7017" s="26" t="str">
        <f>VLOOKUP(Tabela1[[#This Row],[Cliente]],'BASE DE CLIENTES'!A:C,3,0)</f>
        <v>DF</v>
      </c>
      <c r="E7017" s="26" t="str">
        <f>CONCATENATE(Tabela1[[#This Row],[CIDADE]],",",Tabela1[[#This Row],[UF]])</f>
        <v>Brasília,DF</v>
      </c>
      <c r="F7017" s="12">
        <v>46210</v>
      </c>
      <c r="G7017" s="14">
        <v>464.6</v>
      </c>
      <c r="H7017" s="13">
        <v>755</v>
      </c>
      <c r="I7017" s="7">
        <f>Tabela1[[#This Row],[Valor total]]-Tabela1[[#This Row],[Valor custo]]</f>
        <v>290.39999999999998</v>
      </c>
      <c r="J7017" s="27">
        <f>Tabela1[[#This Row],[MARGEM BRUTA]]/Tabela1[[#This Row],[Valor total]]</f>
        <v>0.38463576158940394</v>
      </c>
      <c r="K7017" s="26" t="str">
        <f>VLOOKUP(Tabela1[[#This Row],[Cliente]],'BASE DE CLIENTES'!A:D,4,0)</f>
        <v>EMPRESA SEM MAQUINA</v>
      </c>
      <c r="L7017" s="26" t="str">
        <f>VLOOKUP(Tabela1[[#This Row],[Cliente]],'BASE DE CLIENTES'!A:E,5,0)</f>
        <v>TAGUATINGA SUL (TAGUATINGA)</v>
      </c>
    </row>
    <row r="7018" spans="2:12" x14ac:dyDescent="0.3">
      <c r="B7018" t="s">
        <v>100</v>
      </c>
      <c r="C7018" s="26" t="str">
        <f>VLOOKUP(Tabela1[[#This Row],[Cliente]],'BASE DE CLIENTES'!A:E,2,0)</f>
        <v>Águas Lindas de Goiás</v>
      </c>
      <c r="D7018" s="26" t="str">
        <f>VLOOKUP(Tabela1[[#This Row],[Cliente]],'BASE DE CLIENTES'!A:C,3,0)</f>
        <v>GO</v>
      </c>
      <c r="E7018" s="26" t="str">
        <f>CONCATENATE(Tabela1[[#This Row],[CIDADE]],",",Tabela1[[#This Row],[UF]])</f>
        <v>Águas Lindas de Goiás,GO</v>
      </c>
      <c r="F7018" s="12">
        <v>46210</v>
      </c>
      <c r="G7018" s="14">
        <v>380</v>
      </c>
      <c r="H7018" s="13">
        <v>645</v>
      </c>
      <c r="I7018" s="7">
        <f>Tabela1[[#This Row],[Valor total]]-Tabela1[[#This Row],[Valor custo]]</f>
        <v>265</v>
      </c>
      <c r="J7018" s="27">
        <f>Tabela1[[#This Row],[MARGEM BRUTA]]/Tabela1[[#This Row],[Valor total]]</f>
        <v>0.41085271317829458</v>
      </c>
      <c r="K7018" s="26" t="str">
        <f>VLOOKUP(Tabela1[[#This Row],[Cliente]],'BASE DE CLIENTES'!A:D,4,0)</f>
        <v>EMPRESA SEM MAQUINA</v>
      </c>
      <c r="L7018" s="26" t="str">
        <f>VLOOKUP(Tabela1[[#This Row],[Cliente]],'BASE DE CLIENTES'!A:E,5,0)</f>
        <v>Águas Lindas de Goiás</v>
      </c>
    </row>
    <row r="7019" spans="2:12" x14ac:dyDescent="0.3">
      <c r="B7019" t="s">
        <v>27</v>
      </c>
      <c r="C7019" s="26" t="str">
        <f>VLOOKUP(Tabela1[[#This Row],[Cliente]],'BASE DE CLIENTES'!A:E,2,0)</f>
        <v>Brasília</v>
      </c>
      <c r="D7019" s="26" t="str">
        <f>VLOOKUP(Tabela1[[#This Row],[Cliente]],'BASE DE CLIENTES'!A:C,3,0)</f>
        <v>DF</v>
      </c>
      <c r="E7019" s="26" t="str">
        <f>CONCATENATE(Tabela1[[#This Row],[CIDADE]],",",Tabela1[[#This Row],[UF]])</f>
        <v>Brasília,DF</v>
      </c>
      <c r="F7019" s="12">
        <v>46210</v>
      </c>
      <c r="G7019" s="14">
        <v>733</v>
      </c>
      <c r="H7019" s="13">
        <v>1385</v>
      </c>
      <c r="I7019" s="7">
        <f>Tabela1[[#This Row],[Valor total]]-Tabela1[[#This Row],[Valor custo]]</f>
        <v>652</v>
      </c>
      <c r="J7019" s="27">
        <f>Tabela1[[#This Row],[MARGEM BRUTA]]/Tabela1[[#This Row],[Valor total]]</f>
        <v>0.47075812274368228</v>
      </c>
      <c r="K7019" s="26" t="str">
        <f>VLOOKUP(Tabela1[[#This Row],[Cliente]],'BASE DE CLIENTES'!A:D,4,0)</f>
        <v>EMPRESA SEM MAQUINA</v>
      </c>
      <c r="L7019" s="26" t="str">
        <f>VLOOKUP(Tabela1[[#This Row],[Cliente]],'BASE DE CLIENTES'!A:E,5,0)</f>
        <v>RECANTO DAS EMAS</v>
      </c>
    </row>
    <row r="7020" spans="2:12" x14ac:dyDescent="0.3">
      <c r="B7020" t="s">
        <v>30</v>
      </c>
      <c r="C7020" s="26" t="str">
        <f>VLOOKUP(Tabela1[[#This Row],[Cliente]],'BASE DE CLIENTES'!A:E,2,0)</f>
        <v>Águas Lindas de Goiás</v>
      </c>
      <c r="D7020" s="26" t="str">
        <f>VLOOKUP(Tabela1[[#This Row],[Cliente]],'BASE DE CLIENTES'!A:C,3,0)</f>
        <v>GO</v>
      </c>
      <c r="E7020" s="26" t="str">
        <f>CONCATENATE(Tabela1[[#This Row],[CIDADE]],",",Tabela1[[#This Row],[UF]])</f>
        <v>Águas Lindas de Goiás,GO</v>
      </c>
      <c r="F7020" s="12">
        <v>46210</v>
      </c>
      <c r="G7020" s="14">
        <v>380</v>
      </c>
      <c r="H7020" s="13">
        <v>615</v>
      </c>
      <c r="I7020" s="7">
        <f>Tabela1[[#This Row],[Valor total]]-Tabela1[[#This Row],[Valor custo]]</f>
        <v>235</v>
      </c>
      <c r="J7020" s="27">
        <f>Tabela1[[#This Row],[MARGEM BRUTA]]/Tabela1[[#This Row],[Valor total]]</f>
        <v>0.38211382113821141</v>
      </c>
      <c r="K7020" s="26" t="str">
        <f>VLOOKUP(Tabela1[[#This Row],[Cliente]],'BASE DE CLIENTES'!A:D,4,0)</f>
        <v>SERRALHEIRO</v>
      </c>
      <c r="L7020" s="26" t="str">
        <f>VLOOKUP(Tabela1[[#This Row],[Cliente]],'BASE DE CLIENTES'!A:E,5,0)</f>
        <v>Águas Lindas de Goiás</v>
      </c>
    </row>
    <row r="7021" spans="2:12" x14ac:dyDescent="0.3">
      <c r="B7021" t="s">
        <v>216</v>
      </c>
      <c r="C7021" s="26" t="str">
        <f>VLOOKUP(Tabela1[[#This Row],[Cliente]],'BASE DE CLIENTES'!A:E,2,0)</f>
        <v>Brasília</v>
      </c>
      <c r="D7021" s="26" t="str">
        <f>VLOOKUP(Tabela1[[#This Row],[Cliente]],'BASE DE CLIENTES'!A:C,3,0)</f>
        <v>DF</v>
      </c>
      <c r="E7021" s="26" t="str">
        <f>CONCATENATE(Tabela1[[#This Row],[CIDADE]],",",Tabela1[[#This Row],[UF]])</f>
        <v>Brasília,DF</v>
      </c>
      <c r="F7021" s="12">
        <v>46210</v>
      </c>
      <c r="G7021" s="14">
        <v>493.79</v>
      </c>
      <c r="H7021" s="13">
        <v>850</v>
      </c>
      <c r="I7021" s="7">
        <f>Tabela1[[#This Row],[Valor total]]-Tabela1[[#This Row],[Valor custo]]</f>
        <v>356.21</v>
      </c>
      <c r="J7021" s="27">
        <f>Tabela1[[#This Row],[MARGEM BRUTA]]/Tabela1[[#This Row],[Valor total]]</f>
        <v>0.41907058823529408</v>
      </c>
      <c r="K7021" s="26" t="str">
        <f>VLOOKUP(Tabela1[[#This Row],[Cliente]],'BASE DE CLIENTES'!A:D,4,0)</f>
        <v>EMPRESA COM MAQUINA</v>
      </c>
      <c r="L7021" s="26" t="str">
        <f>VLOOKUP(Tabela1[[#This Row],[Cliente]],'BASE DE CLIENTES'!A:E,5,0)</f>
        <v>RIACHO FUNDO II</v>
      </c>
    </row>
    <row r="7022" spans="2:12" x14ac:dyDescent="0.3">
      <c r="B7022" t="s">
        <v>66</v>
      </c>
      <c r="C7022" s="26" t="str">
        <f>VLOOKUP(Tabela1[[#This Row],[Cliente]],'BASE DE CLIENTES'!A:E,2,0)</f>
        <v>Águas Lindas de Goiás</v>
      </c>
      <c r="D7022" s="26" t="str">
        <f>VLOOKUP(Tabela1[[#This Row],[Cliente]],'BASE DE CLIENTES'!A:C,3,0)</f>
        <v>GO</v>
      </c>
      <c r="E7022" s="26" t="str">
        <f>CONCATENATE(Tabela1[[#This Row],[CIDADE]],",",Tabela1[[#This Row],[UF]])</f>
        <v>Águas Lindas de Goiás,GO</v>
      </c>
      <c r="F7022" s="12">
        <v>46210</v>
      </c>
      <c r="G7022" s="14">
        <v>2840.88</v>
      </c>
      <c r="H7022" s="13">
        <v>4425</v>
      </c>
      <c r="I7022" s="7">
        <f>Tabela1[[#This Row],[Valor total]]-Tabela1[[#This Row],[Valor custo]]</f>
        <v>1584.12</v>
      </c>
      <c r="J7022" s="27">
        <f>Tabela1[[#This Row],[MARGEM BRUTA]]/Tabela1[[#This Row],[Valor total]]</f>
        <v>0.35799322033898301</v>
      </c>
      <c r="K7022" s="26" t="str">
        <f>VLOOKUP(Tabela1[[#This Row],[Cliente]],'BASE DE CLIENTES'!A:D,4,0)</f>
        <v>EMPRESA COM MAQUINA</v>
      </c>
      <c r="L7022" s="26" t="str">
        <f>VLOOKUP(Tabela1[[#This Row],[Cliente]],'BASE DE CLIENTES'!A:E,5,0)</f>
        <v>Águas Lindas de Goiás</v>
      </c>
    </row>
    <row r="7023" spans="2:12" x14ac:dyDescent="0.3">
      <c r="B7023" t="s">
        <v>38</v>
      </c>
      <c r="C7023" s="26" t="str">
        <f>VLOOKUP(Tabela1[[#This Row],[Cliente]],'BASE DE CLIENTES'!A:E,2,0)</f>
        <v>Brasília</v>
      </c>
      <c r="D7023" s="26" t="str">
        <f>VLOOKUP(Tabela1[[#This Row],[Cliente]],'BASE DE CLIENTES'!A:C,3,0)</f>
        <v>DF</v>
      </c>
      <c r="E7023" s="26" t="str">
        <f>CONCATENATE(Tabela1[[#This Row],[CIDADE]],",",Tabela1[[#This Row],[UF]])</f>
        <v>Brasília,DF</v>
      </c>
      <c r="F7023" s="12">
        <v>46210</v>
      </c>
      <c r="G7023" s="14">
        <v>1000</v>
      </c>
      <c r="H7023" s="13">
        <v>1300</v>
      </c>
      <c r="I7023" s="7">
        <f>Tabela1[[#This Row],[Valor total]]-Tabela1[[#This Row],[Valor custo]]</f>
        <v>300</v>
      </c>
      <c r="J7023" s="27">
        <f>Tabela1[[#This Row],[MARGEM BRUTA]]/Tabela1[[#This Row],[Valor total]]</f>
        <v>0.23076923076923078</v>
      </c>
      <c r="K7023" s="26" t="str">
        <f>VLOOKUP(Tabela1[[#This Row],[Cliente]],'BASE DE CLIENTES'!A:D,4,0)</f>
        <v>EMPRESA SEM MAQUINA</v>
      </c>
      <c r="L7023" s="26" t="str">
        <f>VLOOKUP(Tabela1[[#This Row],[Cliente]],'BASE DE CLIENTES'!A:E,5,0)</f>
        <v>PONTE ALTA NORTE (GAMA)</v>
      </c>
    </row>
    <row r="7024" spans="2:12" x14ac:dyDescent="0.3">
      <c r="B7024" t="s">
        <v>112</v>
      </c>
      <c r="C7024" s="26" t="str">
        <f>VLOOKUP(Tabela1[[#This Row],[Cliente]],'BASE DE CLIENTES'!A:E,2,0)</f>
        <v>Brasília</v>
      </c>
      <c r="D7024" s="26" t="str">
        <f>VLOOKUP(Tabela1[[#This Row],[Cliente]],'BASE DE CLIENTES'!A:C,3,0)</f>
        <v>DF</v>
      </c>
      <c r="E7024" s="26" t="str">
        <f>CONCATENATE(Tabela1[[#This Row],[CIDADE]],",",Tabela1[[#This Row],[UF]])</f>
        <v>Brasília,DF</v>
      </c>
      <c r="F7024" s="12">
        <v>46210</v>
      </c>
      <c r="G7024" s="14">
        <v>680</v>
      </c>
      <c r="H7024" s="13">
        <v>1215</v>
      </c>
      <c r="I7024" s="7">
        <f>Tabela1[[#This Row],[Valor total]]-Tabela1[[#This Row],[Valor custo]]</f>
        <v>535</v>
      </c>
      <c r="J7024" s="27">
        <f>Tabela1[[#This Row],[MARGEM BRUTA]]/Tabela1[[#This Row],[Valor total]]</f>
        <v>0.44032921810699588</v>
      </c>
      <c r="K7024" s="26" t="str">
        <f>VLOOKUP(Tabela1[[#This Row],[Cliente]],'BASE DE CLIENTES'!A:D,4,0)</f>
        <v>SERRALHEIRO</v>
      </c>
      <c r="L7024" s="26" t="str">
        <f>VLOOKUP(Tabela1[[#This Row],[Cliente]],'BASE DE CLIENTES'!A:E,5,0)</f>
        <v>RIACHO FUNDO I</v>
      </c>
    </row>
    <row r="7025" spans="2:12" x14ac:dyDescent="0.3">
      <c r="B7025" t="s">
        <v>85</v>
      </c>
      <c r="C7025" s="26" t="str">
        <f>VLOOKUP(Tabela1[[#This Row],[Cliente]],'BASE DE CLIENTES'!A:E,2,0)</f>
        <v>Brasília</v>
      </c>
      <c r="D7025" s="26" t="str">
        <f>VLOOKUP(Tabela1[[#This Row],[Cliente]],'BASE DE CLIENTES'!A:C,3,0)</f>
        <v>DF</v>
      </c>
      <c r="E7025" s="26" t="str">
        <f>CONCATENATE(Tabela1[[#This Row],[CIDADE]],",",Tabela1[[#This Row],[UF]])</f>
        <v>Brasília,DF</v>
      </c>
      <c r="F7025" s="12">
        <v>46210</v>
      </c>
      <c r="G7025" s="14">
        <v>200</v>
      </c>
      <c r="H7025" s="13">
        <v>260</v>
      </c>
      <c r="I7025" s="7">
        <f>Tabela1[[#This Row],[Valor total]]-Tabela1[[#This Row],[Valor custo]]</f>
        <v>60</v>
      </c>
      <c r="J7025" s="27">
        <f>Tabela1[[#This Row],[MARGEM BRUTA]]/Tabela1[[#This Row],[Valor total]]</f>
        <v>0.23076923076923078</v>
      </c>
      <c r="K7025" s="26" t="str">
        <f>VLOOKUP(Tabela1[[#This Row],[Cliente]],'BASE DE CLIENTES'!A:D,4,0)</f>
        <v>SERRALHEIRO</v>
      </c>
      <c r="L7025" s="26" t="str">
        <f>VLOOKUP(Tabela1[[#This Row],[Cliente]],'BASE DE CLIENTES'!A:E,5,0)</f>
        <v>SAMAMBAIA NORTE (SAMAMBAIA)</v>
      </c>
    </row>
    <row r="7026" spans="2:12" x14ac:dyDescent="0.3">
      <c r="B7026" t="s">
        <v>78</v>
      </c>
      <c r="C7026" s="26" t="str">
        <f>VLOOKUP(Tabela1[[#This Row],[Cliente]],'BASE DE CLIENTES'!A:E,2,0)</f>
        <v>Brasília</v>
      </c>
      <c r="D7026" s="26" t="str">
        <f>VLOOKUP(Tabela1[[#This Row],[Cliente]],'BASE DE CLIENTES'!A:C,3,0)</f>
        <v>DF</v>
      </c>
      <c r="E7026" s="26" t="str">
        <f>CONCATENATE(Tabela1[[#This Row],[CIDADE]],",",Tabela1[[#This Row],[UF]])</f>
        <v>Brasília,DF</v>
      </c>
      <c r="F7026" s="12">
        <v>46210</v>
      </c>
      <c r="G7026" s="14">
        <v>168.84</v>
      </c>
      <c r="H7026" s="13">
        <v>450</v>
      </c>
      <c r="I7026" s="7">
        <f>Tabela1[[#This Row],[Valor total]]-Tabela1[[#This Row],[Valor custo]]</f>
        <v>281.15999999999997</v>
      </c>
      <c r="J7026" s="27">
        <f>Tabela1[[#This Row],[MARGEM BRUTA]]/Tabela1[[#This Row],[Valor total]]</f>
        <v>0.62479999999999991</v>
      </c>
      <c r="K7026" s="26" t="str">
        <f>VLOOKUP(Tabela1[[#This Row],[Cliente]],'BASE DE CLIENTES'!A:D,4,0)</f>
        <v>SERRALHEIRO</v>
      </c>
      <c r="L7026" s="26" t="str">
        <f>VLOOKUP(Tabela1[[#This Row],[Cliente]],'BASE DE CLIENTES'!A:E,5,0)</f>
        <v>Vila do Boa (São Sebastião)</v>
      </c>
    </row>
    <row r="7027" spans="2:12" x14ac:dyDescent="0.3">
      <c r="B7027" t="s">
        <v>70</v>
      </c>
      <c r="C7027" s="26" t="str">
        <f>VLOOKUP(Tabela1[[#This Row],[Cliente]],'BASE DE CLIENTES'!A:E,2,0)</f>
        <v>Brasília</v>
      </c>
      <c r="D7027" s="26" t="str">
        <f>VLOOKUP(Tabela1[[#This Row],[Cliente]],'BASE DE CLIENTES'!A:C,3,0)</f>
        <v>DF</v>
      </c>
      <c r="E7027" s="26" t="str">
        <f>CONCATENATE(Tabela1[[#This Row],[CIDADE]],",",Tabela1[[#This Row],[UF]])</f>
        <v>Brasília,DF</v>
      </c>
      <c r="F7027" s="12">
        <v>46210</v>
      </c>
      <c r="G7027" s="14">
        <v>1093.58</v>
      </c>
      <c r="H7027" s="13">
        <v>1740</v>
      </c>
      <c r="I7027" s="7">
        <f>Tabela1[[#This Row],[Valor total]]-Tabela1[[#This Row],[Valor custo]]</f>
        <v>646.42000000000007</v>
      </c>
      <c r="J7027" s="27">
        <f>Tabela1[[#This Row],[MARGEM BRUTA]]/Tabela1[[#This Row],[Valor total]]</f>
        <v>0.3715057471264368</v>
      </c>
      <c r="K7027" s="26" t="str">
        <f>VLOOKUP(Tabela1[[#This Row],[Cliente]],'BASE DE CLIENTES'!A:D,4,0)</f>
        <v>EMPRESA COM MAQUINA</v>
      </c>
      <c r="L7027" s="26" t="str">
        <f>VLOOKUP(Tabela1[[#This Row],[Cliente]],'BASE DE CLIENTES'!A:E,5,0)</f>
        <v>TAGUATINGA NORTE (TAGUATINGA)</v>
      </c>
    </row>
    <row r="7028" spans="2:12" x14ac:dyDescent="0.3">
      <c r="B7028" t="s">
        <v>1221</v>
      </c>
      <c r="C7028" s="26" t="str">
        <f>VLOOKUP(Tabela1[[#This Row],[Cliente]],'BASE DE CLIENTES'!A:E,2,0)</f>
        <v>Brasília</v>
      </c>
      <c r="D7028" s="26" t="str">
        <f>VLOOKUP(Tabela1[[#This Row],[Cliente]],'BASE DE CLIENTES'!A:C,3,0)</f>
        <v>DF</v>
      </c>
      <c r="E7028" s="26" t="str">
        <f>CONCATENATE(Tabela1[[#This Row],[CIDADE]],",",Tabela1[[#This Row],[UF]])</f>
        <v>Brasília,DF</v>
      </c>
      <c r="F7028" s="12">
        <v>46210</v>
      </c>
      <c r="G7028" s="14">
        <v>760</v>
      </c>
      <c r="H7028" s="13">
        <v>1290</v>
      </c>
      <c r="I7028" s="7">
        <f>Tabela1[[#This Row],[Valor total]]-Tabela1[[#This Row],[Valor custo]]</f>
        <v>530</v>
      </c>
      <c r="J7028" s="27">
        <f>Tabela1[[#This Row],[MARGEM BRUTA]]/Tabela1[[#This Row],[Valor total]]</f>
        <v>0.41085271317829458</v>
      </c>
      <c r="K7028" s="26" t="str">
        <f>VLOOKUP(Tabela1[[#This Row],[Cliente]],'BASE DE CLIENTES'!A:D,4,0)</f>
        <v>CLIENTE NOVO S/ IDENT.</v>
      </c>
      <c r="L7028" s="26" t="str">
        <f>VLOOKUP(Tabela1[[#This Row],[Cliente]],'BASE DE CLIENTES'!A:E,5,0)</f>
        <v>SAMAMBAIA SUL</v>
      </c>
    </row>
    <row r="7029" spans="2:12" x14ac:dyDescent="0.3">
      <c r="B7029" t="s">
        <v>216</v>
      </c>
      <c r="C7029" s="26" t="str">
        <f>VLOOKUP(Tabela1[[#This Row],[Cliente]],'BASE DE CLIENTES'!A:E,2,0)</f>
        <v>Brasília</v>
      </c>
      <c r="D7029" s="26" t="str">
        <f>VLOOKUP(Tabela1[[#This Row],[Cliente]],'BASE DE CLIENTES'!A:C,3,0)</f>
        <v>DF</v>
      </c>
      <c r="E7029" s="26" t="str">
        <f>CONCATENATE(Tabela1[[#This Row],[CIDADE]],",",Tabela1[[#This Row],[UF]])</f>
        <v>Brasília,DF</v>
      </c>
      <c r="F7029" s="12">
        <v>46210</v>
      </c>
      <c r="G7029" s="14">
        <v>913.79</v>
      </c>
      <c r="H7029" s="13">
        <v>1400</v>
      </c>
      <c r="I7029" s="7">
        <f>Tabela1[[#This Row],[Valor total]]-Tabela1[[#This Row],[Valor custo]]</f>
        <v>486.21000000000004</v>
      </c>
      <c r="J7029" s="27">
        <f>Tabela1[[#This Row],[MARGEM BRUTA]]/Tabela1[[#This Row],[Valor total]]</f>
        <v>0.34729285714285718</v>
      </c>
      <c r="K7029" s="26" t="str">
        <f>VLOOKUP(Tabela1[[#This Row],[Cliente]],'BASE DE CLIENTES'!A:D,4,0)</f>
        <v>EMPRESA COM MAQUINA</v>
      </c>
      <c r="L7029" s="26" t="str">
        <f>VLOOKUP(Tabela1[[#This Row],[Cliente]],'BASE DE CLIENTES'!A:E,5,0)</f>
        <v>RIACHO FUNDO II</v>
      </c>
    </row>
    <row r="7030" spans="2:12" x14ac:dyDescent="0.3">
      <c r="B7030" t="s">
        <v>23</v>
      </c>
      <c r="C7030" s="26" t="str">
        <f>VLOOKUP(Tabela1[[#This Row],[Cliente]],'BASE DE CLIENTES'!A:E,2,0)</f>
        <v>Brasília</v>
      </c>
      <c r="D7030" s="26" t="str">
        <f>VLOOKUP(Tabela1[[#This Row],[Cliente]],'BASE DE CLIENTES'!A:C,3,0)</f>
        <v>DF</v>
      </c>
      <c r="E7030" s="26" t="str">
        <f>CONCATENATE(Tabela1[[#This Row],[CIDADE]],",",Tabela1[[#This Row],[UF]])</f>
        <v>Brasília,DF</v>
      </c>
      <c r="F7030" s="12">
        <v>46210</v>
      </c>
      <c r="G7030" s="14">
        <v>1140</v>
      </c>
      <c r="H7030" s="13">
        <v>1650</v>
      </c>
      <c r="I7030" s="7">
        <f>Tabela1[[#This Row],[Valor total]]-Tabela1[[#This Row],[Valor custo]]</f>
        <v>510</v>
      </c>
      <c r="J7030" s="27">
        <f>Tabela1[[#This Row],[MARGEM BRUTA]]/Tabela1[[#This Row],[Valor total]]</f>
        <v>0.30909090909090908</v>
      </c>
      <c r="K7030" s="26" t="str">
        <f>VLOOKUP(Tabela1[[#This Row],[Cliente]],'BASE DE CLIENTES'!A:D,4,0)</f>
        <v>EMPRESA SEM MAQUINA</v>
      </c>
      <c r="L7030" s="26" t="str">
        <f>VLOOKUP(Tabela1[[#This Row],[Cliente]],'BASE DE CLIENTES'!A:E,5,0)</f>
        <v>SETOR INDUSTRIAL (TAGUATINGA)</v>
      </c>
    </row>
    <row r="7031" spans="2:12" x14ac:dyDescent="0.3">
      <c r="B7031" t="s">
        <v>221</v>
      </c>
      <c r="C7031" s="26" t="str">
        <f>VLOOKUP(Tabela1[[#This Row],[Cliente]],'BASE DE CLIENTES'!A:E,2,0)</f>
        <v>Goiânia</v>
      </c>
      <c r="D7031" s="26" t="str">
        <f>VLOOKUP(Tabela1[[#This Row],[Cliente]],'BASE DE CLIENTES'!A:C,3,0)</f>
        <v>GO</v>
      </c>
      <c r="E7031" s="26" t="str">
        <f>CONCATENATE(Tabela1[[#This Row],[CIDADE]],",",Tabela1[[#This Row],[UF]])</f>
        <v>Goiânia,GO</v>
      </c>
      <c r="F7031" s="12">
        <v>46210</v>
      </c>
      <c r="G7031" s="14">
        <v>2040</v>
      </c>
      <c r="H7031" s="13">
        <v>3450</v>
      </c>
      <c r="I7031" s="7">
        <f>Tabela1[[#This Row],[Valor total]]-Tabela1[[#This Row],[Valor custo]]</f>
        <v>1410</v>
      </c>
      <c r="J7031" s="27">
        <f>Tabela1[[#This Row],[MARGEM BRUTA]]/Tabela1[[#This Row],[Valor total]]</f>
        <v>0.40869565217391307</v>
      </c>
      <c r="K7031" s="26" t="str">
        <f>VLOOKUP(Tabela1[[#This Row],[Cliente]],'BASE DE CLIENTES'!A:D,4,0)</f>
        <v>EMPRESA COM MAQUINA</v>
      </c>
      <c r="L7031" s="26" t="str">
        <f>VLOOKUP(Tabela1[[#This Row],[Cliente]],'BASE DE CLIENTES'!A:E,5,0)</f>
        <v>Goiânia</v>
      </c>
    </row>
    <row r="7032" spans="2:12" x14ac:dyDescent="0.3">
      <c r="B7032" t="s">
        <v>199</v>
      </c>
      <c r="C7032" s="26" t="str">
        <f>VLOOKUP(Tabela1[[#This Row],[Cliente]],'BASE DE CLIENTES'!A:E,2,0)</f>
        <v>Goiânia</v>
      </c>
      <c r="D7032" s="26" t="str">
        <f>VLOOKUP(Tabela1[[#This Row],[Cliente]],'BASE DE CLIENTES'!A:C,3,0)</f>
        <v>GO</v>
      </c>
      <c r="E7032" s="26" t="str">
        <f>CONCATENATE(Tabela1[[#This Row],[CIDADE]],",",Tabela1[[#This Row],[UF]])</f>
        <v>Goiânia,GO</v>
      </c>
      <c r="F7032" s="12">
        <v>46210</v>
      </c>
      <c r="G7032" s="14">
        <v>3385</v>
      </c>
      <c r="H7032" s="13">
        <v>4900</v>
      </c>
      <c r="I7032" s="7">
        <f>Tabela1[[#This Row],[Valor total]]-Tabela1[[#This Row],[Valor custo]]</f>
        <v>1515</v>
      </c>
      <c r="J7032" s="27">
        <f>Tabela1[[#This Row],[MARGEM BRUTA]]/Tabela1[[#This Row],[Valor total]]</f>
        <v>0.30918367346938774</v>
      </c>
      <c r="K7032" s="26" t="str">
        <f>VLOOKUP(Tabela1[[#This Row],[Cliente]],'BASE DE CLIENTES'!A:D,4,0)</f>
        <v>EMPRESA COM MAQUINA</v>
      </c>
      <c r="L7032" s="26" t="str">
        <f>VLOOKUP(Tabela1[[#This Row],[Cliente]],'BASE DE CLIENTES'!A:E,5,0)</f>
        <v>Goiânia</v>
      </c>
    </row>
    <row r="7033" spans="2:12" x14ac:dyDescent="0.3">
      <c r="B7033" t="s">
        <v>141</v>
      </c>
      <c r="C7033" s="26" t="str">
        <f>VLOOKUP(Tabela1[[#This Row],[Cliente]],'BASE DE CLIENTES'!A:E,2,0)</f>
        <v>Brasília</v>
      </c>
      <c r="D7033" s="26" t="str">
        <f>VLOOKUP(Tabela1[[#This Row],[Cliente]],'BASE DE CLIENTES'!A:C,3,0)</f>
        <v>DF</v>
      </c>
      <c r="E7033" s="26" t="str">
        <f>CONCATENATE(Tabela1[[#This Row],[CIDADE]],",",Tabela1[[#This Row],[UF]])</f>
        <v>Brasília,DF</v>
      </c>
      <c r="F7033" s="12">
        <v>46209</v>
      </c>
      <c r="G7033" s="14">
        <v>33.56</v>
      </c>
      <c r="H7033" s="13">
        <v>385</v>
      </c>
      <c r="I7033" s="7">
        <f>Tabela1[[#This Row],[Valor total]]-Tabela1[[#This Row],[Valor custo]]</f>
        <v>351.44</v>
      </c>
      <c r="J7033" s="27">
        <f>Tabela1[[#This Row],[MARGEM BRUTA]]/Tabela1[[#This Row],[Valor total]]</f>
        <v>0.91283116883116877</v>
      </c>
      <c r="K7033" s="26" t="str">
        <f>VLOOKUP(Tabela1[[#This Row],[Cliente]],'BASE DE CLIENTES'!A:D,4,0)</f>
        <v>EMPRESA COM MAQUINA</v>
      </c>
      <c r="L7033" s="26" t="str">
        <f>VLOOKUP(Tabela1[[#This Row],[Cliente]],'BASE DE CLIENTES'!A:E,5,0)</f>
        <v>TAGUATINGA</v>
      </c>
    </row>
    <row r="7034" spans="2:12" x14ac:dyDescent="0.3">
      <c r="B7034" t="s">
        <v>38</v>
      </c>
      <c r="C7034" s="26" t="str">
        <f>VLOOKUP(Tabela1[[#This Row],[Cliente]],'BASE DE CLIENTES'!A:E,2,0)</f>
        <v>Brasília</v>
      </c>
      <c r="D7034" s="26" t="str">
        <f>VLOOKUP(Tabela1[[#This Row],[Cliente]],'BASE DE CLIENTES'!A:C,3,0)</f>
        <v>DF</v>
      </c>
      <c r="E7034" s="26" t="str">
        <f>CONCATENATE(Tabela1[[#This Row],[CIDADE]],",",Tabela1[[#This Row],[UF]])</f>
        <v>Brasília,DF</v>
      </c>
      <c r="F7034" s="12">
        <v>46209</v>
      </c>
      <c r="G7034" s="14">
        <v>1179</v>
      </c>
      <c r="H7034" s="13">
        <v>1885</v>
      </c>
      <c r="I7034" s="7">
        <f>Tabela1[[#This Row],[Valor total]]-Tabela1[[#This Row],[Valor custo]]</f>
        <v>706</v>
      </c>
      <c r="J7034" s="27">
        <f>Tabela1[[#This Row],[MARGEM BRUTA]]/Tabela1[[#This Row],[Valor total]]</f>
        <v>0.37453580901856764</v>
      </c>
      <c r="K7034" s="26" t="str">
        <f>VLOOKUP(Tabela1[[#This Row],[Cliente]],'BASE DE CLIENTES'!A:D,4,0)</f>
        <v>EMPRESA SEM MAQUINA</v>
      </c>
      <c r="L7034" s="26" t="str">
        <f>VLOOKUP(Tabela1[[#This Row],[Cliente]],'BASE DE CLIENTES'!A:E,5,0)</f>
        <v>PONTE ALTA NORTE (GAMA)</v>
      </c>
    </row>
    <row r="7035" spans="2:12" x14ac:dyDescent="0.3">
      <c r="B7035" t="s">
        <v>98</v>
      </c>
      <c r="C7035" s="26" t="str">
        <f>VLOOKUP(Tabela1[[#This Row],[Cliente]],'BASE DE CLIENTES'!A:E,2,0)</f>
        <v>Brasília</v>
      </c>
      <c r="D7035" s="26" t="str">
        <f>VLOOKUP(Tabela1[[#This Row],[Cliente]],'BASE DE CLIENTES'!A:C,3,0)</f>
        <v>DF</v>
      </c>
      <c r="E7035" s="26" t="str">
        <f>CONCATENATE(Tabela1[[#This Row],[CIDADE]],",",Tabela1[[#This Row],[UF]])</f>
        <v>Brasília,DF</v>
      </c>
      <c r="F7035" s="12">
        <v>46209</v>
      </c>
      <c r="G7035" s="14">
        <v>880</v>
      </c>
      <c r="H7035" s="13">
        <v>1325</v>
      </c>
      <c r="I7035" s="7">
        <f>Tabela1[[#This Row],[Valor total]]-Tabela1[[#This Row],[Valor custo]]</f>
        <v>445</v>
      </c>
      <c r="J7035" s="27">
        <f>Tabela1[[#This Row],[MARGEM BRUTA]]/Tabela1[[#This Row],[Valor total]]</f>
        <v>0.33584905660377357</v>
      </c>
      <c r="K7035" s="26" t="str">
        <f>VLOOKUP(Tabela1[[#This Row],[Cliente]],'BASE DE CLIENTES'!A:D,4,0)</f>
        <v>SERRALHEIRO</v>
      </c>
      <c r="L7035" s="26" t="str">
        <f>VLOOKUP(Tabela1[[#This Row],[Cliente]],'BASE DE CLIENTES'!A:E,5,0)</f>
        <v>SANTA MARIA</v>
      </c>
    </row>
    <row r="7036" spans="2:12" x14ac:dyDescent="0.3">
      <c r="B7036" t="s">
        <v>319</v>
      </c>
      <c r="C7036" s="26" t="str">
        <f>VLOOKUP(Tabela1[[#This Row],[Cliente]],'BASE DE CLIENTES'!A:E,2,0)</f>
        <v>Valparaíso de Goiás</v>
      </c>
      <c r="D7036" s="26" t="str">
        <f>VLOOKUP(Tabela1[[#This Row],[Cliente]],'BASE DE CLIENTES'!A:C,3,0)</f>
        <v>GO</v>
      </c>
      <c r="E7036" s="26" t="str">
        <f>CONCATENATE(Tabela1[[#This Row],[CIDADE]],",",Tabela1[[#This Row],[UF]])</f>
        <v>Valparaíso de Goiás,GO</v>
      </c>
      <c r="F7036" s="12">
        <v>46209</v>
      </c>
      <c r="G7036" s="14">
        <v>2307</v>
      </c>
      <c r="H7036" s="13">
        <v>3680</v>
      </c>
      <c r="I7036" s="7">
        <f>Tabela1[[#This Row],[Valor total]]-Tabela1[[#This Row],[Valor custo]]</f>
        <v>1373</v>
      </c>
      <c r="J7036" s="27">
        <f>Tabela1[[#This Row],[MARGEM BRUTA]]/Tabela1[[#This Row],[Valor total]]</f>
        <v>0.37309782608695652</v>
      </c>
      <c r="K7036" s="26" t="str">
        <f>VLOOKUP(Tabela1[[#This Row],[Cliente]],'BASE DE CLIENTES'!A:D,4,0)</f>
        <v>EMPRESA COM MAQUINA</v>
      </c>
      <c r="L7036" s="26" t="str">
        <f>VLOOKUP(Tabela1[[#This Row],[Cliente]],'BASE DE CLIENTES'!A:E,5,0)</f>
        <v>Valparaíso de Goiás</v>
      </c>
    </row>
    <row r="7037" spans="2:12" x14ac:dyDescent="0.3">
      <c r="B7037" t="s">
        <v>85</v>
      </c>
      <c r="C7037" s="26" t="str">
        <f>VLOOKUP(Tabela1[[#This Row],[Cliente]],'BASE DE CLIENTES'!A:E,2,0)</f>
        <v>Brasília</v>
      </c>
      <c r="D7037" s="26" t="str">
        <f>VLOOKUP(Tabela1[[#This Row],[Cliente]],'BASE DE CLIENTES'!A:C,3,0)</f>
        <v>DF</v>
      </c>
      <c r="E7037" s="26" t="str">
        <f>CONCATENATE(Tabela1[[#This Row],[CIDADE]],",",Tabela1[[#This Row],[UF]])</f>
        <v>Brasília,DF</v>
      </c>
      <c r="F7037" s="12">
        <v>46209</v>
      </c>
      <c r="G7037" s="14">
        <v>2150</v>
      </c>
      <c r="H7037" s="13">
        <v>4110</v>
      </c>
      <c r="I7037" s="7">
        <f>Tabela1[[#This Row],[Valor total]]-Tabela1[[#This Row],[Valor custo]]</f>
        <v>1960</v>
      </c>
      <c r="J7037" s="27">
        <f>Tabela1[[#This Row],[MARGEM BRUTA]]/Tabela1[[#This Row],[Valor total]]</f>
        <v>0.47688564476885642</v>
      </c>
      <c r="K7037" s="26" t="str">
        <f>VLOOKUP(Tabela1[[#This Row],[Cliente]],'BASE DE CLIENTES'!A:D,4,0)</f>
        <v>SERRALHEIRO</v>
      </c>
      <c r="L7037" s="26" t="str">
        <f>VLOOKUP(Tabela1[[#This Row],[Cliente]],'BASE DE CLIENTES'!A:E,5,0)</f>
        <v>SAMAMBAIA NORTE (SAMAMBAIA)</v>
      </c>
    </row>
    <row r="7038" spans="2:12" x14ac:dyDescent="0.3">
      <c r="B7038" t="s">
        <v>68</v>
      </c>
      <c r="C7038" s="26" t="str">
        <f>VLOOKUP(Tabela1[[#This Row],[Cliente]],'BASE DE CLIENTES'!A:E,2,0)</f>
        <v>Brasília</v>
      </c>
      <c r="D7038" s="26" t="str">
        <f>VLOOKUP(Tabela1[[#This Row],[Cliente]],'BASE DE CLIENTES'!A:C,3,0)</f>
        <v>DF</v>
      </c>
      <c r="E7038" s="26" t="str">
        <f>CONCATENATE(Tabela1[[#This Row],[CIDADE]],",",Tabela1[[#This Row],[UF]])</f>
        <v>Brasília,DF</v>
      </c>
      <c r="F7038" s="12">
        <v>46209</v>
      </c>
      <c r="G7038" s="14">
        <v>838</v>
      </c>
      <c r="H7038" s="13">
        <v>1270</v>
      </c>
      <c r="I7038" s="7">
        <f>Tabela1[[#This Row],[Valor total]]-Tabela1[[#This Row],[Valor custo]]</f>
        <v>432</v>
      </c>
      <c r="J7038" s="27">
        <f>Tabela1[[#This Row],[MARGEM BRUTA]]/Tabela1[[#This Row],[Valor total]]</f>
        <v>0.34015748031496063</v>
      </c>
      <c r="K7038" s="26" t="str">
        <f>VLOOKUP(Tabela1[[#This Row],[Cliente]],'BASE DE CLIENTES'!A:D,4,0)</f>
        <v>EMPRESA COM MAQUINA</v>
      </c>
      <c r="L7038" s="26" t="str">
        <f>VLOOKUP(Tabela1[[#This Row],[Cliente]],'BASE DE CLIENTES'!A:E,5,0)</f>
        <v>SAMAMBAIA SUL (SAMAMBAIA)</v>
      </c>
    </row>
    <row r="7039" spans="2:12" x14ac:dyDescent="0.3">
      <c r="B7039" t="s">
        <v>184</v>
      </c>
      <c r="C7039" s="26" t="str">
        <f>VLOOKUP(Tabela1[[#This Row],[Cliente]],'BASE DE CLIENTES'!A:E,2,0)</f>
        <v>Castanhal</v>
      </c>
      <c r="D7039" s="26" t="str">
        <f>VLOOKUP(Tabela1[[#This Row],[Cliente]],'BASE DE CLIENTES'!A:C,3,0)</f>
        <v>PA</v>
      </c>
      <c r="E7039" s="26" t="str">
        <f>CONCATENATE(Tabela1[[#This Row],[CIDADE]],",",Tabela1[[#This Row],[UF]])</f>
        <v>Castanhal,PA</v>
      </c>
      <c r="F7039" s="12">
        <v>46209</v>
      </c>
      <c r="G7039" s="14">
        <v>2360</v>
      </c>
      <c r="H7039" s="13">
        <v>3710</v>
      </c>
      <c r="I7039" s="7">
        <f>Tabela1[[#This Row],[Valor total]]-Tabela1[[#This Row],[Valor custo]]</f>
        <v>1350</v>
      </c>
      <c r="J7039" s="27">
        <f>Tabela1[[#This Row],[MARGEM BRUTA]]/Tabela1[[#This Row],[Valor total]]</f>
        <v>0.36388140161725069</v>
      </c>
      <c r="K7039" s="26" t="str">
        <f>VLOOKUP(Tabela1[[#This Row],[Cliente]],'BASE DE CLIENTES'!A:D,4,0)</f>
        <v>EMPRESA COM MAQUINA</v>
      </c>
      <c r="L7039" s="26" t="str">
        <f>VLOOKUP(Tabela1[[#This Row],[Cliente]],'BASE DE CLIENTES'!A:E,5,0)</f>
        <v>Castanhal</v>
      </c>
    </row>
    <row r="7040" spans="2:12" x14ac:dyDescent="0.3">
      <c r="B7040" t="s">
        <v>775</v>
      </c>
      <c r="C7040" s="26" t="str">
        <f>VLOOKUP(Tabela1[[#This Row],[Cliente]],'BASE DE CLIENTES'!A:E,2,0)</f>
        <v>Brasília</v>
      </c>
      <c r="D7040" s="26" t="str">
        <f>VLOOKUP(Tabela1[[#This Row],[Cliente]],'BASE DE CLIENTES'!A:C,3,0)</f>
        <v>DF</v>
      </c>
      <c r="E7040" s="26" t="str">
        <f>CONCATENATE(Tabela1[[#This Row],[CIDADE]],",",Tabela1[[#This Row],[UF]])</f>
        <v>Brasília,DF</v>
      </c>
      <c r="F7040" s="12">
        <v>46209</v>
      </c>
      <c r="G7040" s="14">
        <v>838</v>
      </c>
      <c r="H7040" s="13">
        <v>1310</v>
      </c>
      <c r="I7040" s="7">
        <f>Tabela1[[#This Row],[Valor total]]-Tabela1[[#This Row],[Valor custo]]</f>
        <v>472</v>
      </c>
      <c r="J7040" s="27">
        <f>Tabela1[[#This Row],[MARGEM BRUTA]]/Tabela1[[#This Row],[Valor total]]</f>
        <v>0.36030534351145038</v>
      </c>
      <c r="K7040" s="26" t="str">
        <f>VLOOKUP(Tabela1[[#This Row],[Cliente]],'BASE DE CLIENTES'!A:D,4,0)</f>
        <v>CLIENTE NOVO S/ IDENT.</v>
      </c>
      <c r="L7040" s="26" t="str">
        <f>VLOOKUP(Tabela1[[#This Row],[Cliente]],'BASE DE CLIENTES'!A:E,5,0)</f>
        <v>Brasília</v>
      </c>
    </row>
    <row r="7041" spans="2:12" x14ac:dyDescent="0.3">
      <c r="B7041" t="s">
        <v>17</v>
      </c>
      <c r="C7041" s="26" t="str">
        <f>VLOOKUP(Tabela1[[#This Row],[Cliente]],'BASE DE CLIENTES'!A:E,2,0)</f>
        <v>Águas Lindas de Goiás</v>
      </c>
      <c r="D7041" s="26" t="str">
        <f>VLOOKUP(Tabela1[[#This Row],[Cliente]],'BASE DE CLIENTES'!A:C,3,0)</f>
        <v>GO</v>
      </c>
      <c r="E7041" s="26" t="str">
        <f>CONCATENATE(Tabela1[[#This Row],[CIDADE]],",",Tabela1[[#This Row],[UF]])</f>
        <v>Águas Lindas de Goiás,GO</v>
      </c>
      <c r="F7041" s="12">
        <v>46209</v>
      </c>
      <c r="G7041" s="14">
        <v>412.6</v>
      </c>
      <c r="H7041" s="13">
        <v>775</v>
      </c>
      <c r="I7041" s="7">
        <f>Tabela1[[#This Row],[Valor total]]-Tabela1[[#This Row],[Valor custo]]</f>
        <v>362.4</v>
      </c>
      <c r="J7041" s="27">
        <f>Tabela1[[#This Row],[MARGEM BRUTA]]/Tabela1[[#This Row],[Valor total]]</f>
        <v>0.4676129032258064</v>
      </c>
      <c r="K7041" s="26" t="str">
        <f>VLOOKUP(Tabela1[[#This Row],[Cliente]],'BASE DE CLIENTES'!A:D,4,0)</f>
        <v>SERRALHEIRO</v>
      </c>
      <c r="L7041" s="26" t="str">
        <f>VLOOKUP(Tabela1[[#This Row],[Cliente]],'BASE DE CLIENTES'!A:E,5,0)</f>
        <v>Águas Lindas de Goiás</v>
      </c>
    </row>
    <row r="7042" spans="2:12" x14ac:dyDescent="0.3">
      <c r="B7042" t="s">
        <v>1177</v>
      </c>
      <c r="C7042" s="26" t="str">
        <f>VLOOKUP(Tabela1[[#This Row],[Cliente]],'BASE DE CLIENTES'!A:E,2,0)</f>
        <v>Brasília</v>
      </c>
      <c r="D7042" s="26" t="str">
        <f>VLOOKUP(Tabela1[[#This Row],[Cliente]],'BASE DE CLIENTES'!A:C,3,0)</f>
        <v>DF</v>
      </c>
      <c r="E7042" s="26" t="str">
        <f>CONCATENATE(Tabela1[[#This Row],[CIDADE]],",",Tabela1[[#This Row],[UF]])</f>
        <v>Brasília,DF</v>
      </c>
      <c r="F7042" s="12">
        <v>46209</v>
      </c>
      <c r="G7042" s="14">
        <v>382</v>
      </c>
      <c r="H7042" s="13">
        <v>600</v>
      </c>
      <c r="I7042" s="7">
        <f>Tabela1[[#This Row],[Valor total]]-Tabela1[[#This Row],[Valor custo]]</f>
        <v>218</v>
      </c>
      <c r="J7042" s="27">
        <f>Tabela1[[#This Row],[MARGEM BRUTA]]/Tabela1[[#This Row],[Valor total]]</f>
        <v>0.36333333333333334</v>
      </c>
      <c r="K7042" s="26" t="str">
        <f>VLOOKUP(Tabela1[[#This Row],[Cliente]],'BASE DE CLIENTES'!A:D,4,0)</f>
        <v>CLIENTE NOVO S/ IDENT.</v>
      </c>
      <c r="L7042" s="26" t="str">
        <f>VLOOKUP(Tabela1[[#This Row],[Cliente]],'BASE DE CLIENTES'!A:E,5,0)</f>
        <v>TAGUATINGA</v>
      </c>
    </row>
    <row r="7043" spans="2:12" x14ac:dyDescent="0.3">
      <c r="B7043" t="s">
        <v>1223</v>
      </c>
      <c r="C7043" s="26" t="str">
        <f>VLOOKUP(Tabela1[[#This Row],[Cliente]],'BASE DE CLIENTES'!A:E,2,0)</f>
        <v>MERCADO LIVRE</v>
      </c>
      <c r="D7043" s="26" t="str">
        <f>VLOOKUP(Tabela1[[#This Row],[Cliente]],'BASE DE CLIENTES'!A:C,3,0)</f>
        <v>MERCADO LIVRE</v>
      </c>
      <c r="E7043" s="26" t="str">
        <f>CONCATENATE(Tabela1[[#This Row],[CIDADE]],",",Tabela1[[#This Row],[UF]])</f>
        <v>MERCADO LIVRE,MERCADO LIVRE</v>
      </c>
      <c r="F7043" s="12">
        <v>46209</v>
      </c>
      <c r="G7043" s="14">
        <v>56.28</v>
      </c>
      <c r="H7043" s="13">
        <v>192.81</v>
      </c>
      <c r="I7043" s="7">
        <f>Tabela1[[#This Row],[Valor total]]-Tabela1[[#This Row],[Valor custo]]</f>
        <v>136.53</v>
      </c>
      <c r="J7043" s="27">
        <f>Tabela1[[#This Row],[MARGEM BRUTA]]/Tabela1[[#This Row],[Valor total]]</f>
        <v>0.7081064260152482</v>
      </c>
      <c r="K7043" s="26" t="str">
        <f>VLOOKUP(Tabela1[[#This Row],[Cliente]],'BASE DE CLIENTES'!A:D,4,0)</f>
        <v>OUTROS RAMOS</v>
      </c>
      <c r="L7043" s="26" t="str">
        <f>VLOOKUP(Tabela1[[#This Row],[Cliente]],'BASE DE CLIENTES'!A:E,5,0)</f>
        <v>MERCADO LIVRE</v>
      </c>
    </row>
    <row r="7044" spans="2:12" x14ac:dyDescent="0.3">
      <c r="B7044" t="s">
        <v>128</v>
      </c>
      <c r="C7044" s="26" t="str">
        <f>VLOOKUP(Tabela1[[#This Row],[Cliente]],'BASE DE CLIENTES'!A:E,2,0)</f>
        <v>Brasília</v>
      </c>
      <c r="D7044" s="26" t="str">
        <f>VLOOKUP(Tabela1[[#This Row],[Cliente]],'BASE DE CLIENTES'!A:C,3,0)</f>
        <v>DF</v>
      </c>
      <c r="E7044" s="26" t="str">
        <f>CONCATENATE(Tabela1[[#This Row],[CIDADE]],",",Tabela1[[#This Row],[UF]])</f>
        <v>Brasília,DF</v>
      </c>
      <c r="F7044" s="12">
        <v>46209</v>
      </c>
      <c r="G7044" s="14">
        <v>500</v>
      </c>
      <c r="H7044" s="13">
        <v>700</v>
      </c>
      <c r="I7044" s="7">
        <f>Tabela1[[#This Row],[Valor total]]-Tabela1[[#This Row],[Valor custo]]</f>
        <v>200</v>
      </c>
      <c r="J7044" s="27">
        <f>Tabela1[[#This Row],[MARGEM BRUTA]]/Tabela1[[#This Row],[Valor total]]</f>
        <v>0.2857142857142857</v>
      </c>
      <c r="K7044" s="26" t="str">
        <f>VLOOKUP(Tabela1[[#This Row],[Cliente]],'BASE DE CLIENTES'!A:D,4,0)</f>
        <v>SERRALHEIRO</v>
      </c>
      <c r="L7044" s="26" t="str">
        <f>VLOOKUP(Tabela1[[#This Row],[Cliente]],'BASE DE CLIENTES'!A:E,5,0)</f>
        <v>TAGUATINGA NORTE</v>
      </c>
    </row>
    <row r="7045" spans="2:12" x14ac:dyDescent="0.3">
      <c r="B7045" t="s">
        <v>128</v>
      </c>
      <c r="C7045" s="26" t="str">
        <f>VLOOKUP(Tabela1[[#This Row],[Cliente]],'BASE DE CLIENTES'!A:E,2,0)</f>
        <v>Brasília</v>
      </c>
      <c r="D7045" s="26" t="str">
        <f>VLOOKUP(Tabela1[[#This Row],[Cliente]],'BASE DE CLIENTES'!A:C,3,0)</f>
        <v>DF</v>
      </c>
      <c r="E7045" s="26" t="str">
        <f>CONCATENATE(Tabela1[[#This Row],[CIDADE]],",",Tabela1[[#This Row],[UF]])</f>
        <v>Brasília,DF</v>
      </c>
      <c r="F7045" s="12">
        <v>46209</v>
      </c>
      <c r="G7045" s="14">
        <v>500</v>
      </c>
      <c r="H7045" s="13">
        <v>700</v>
      </c>
      <c r="I7045" s="7">
        <f>Tabela1[[#This Row],[Valor total]]-Tabela1[[#This Row],[Valor custo]]</f>
        <v>200</v>
      </c>
      <c r="J7045" s="27">
        <f>Tabela1[[#This Row],[MARGEM BRUTA]]/Tabela1[[#This Row],[Valor total]]</f>
        <v>0.2857142857142857</v>
      </c>
      <c r="K7045" s="26" t="str">
        <f>VLOOKUP(Tabela1[[#This Row],[Cliente]],'BASE DE CLIENTES'!A:D,4,0)</f>
        <v>SERRALHEIRO</v>
      </c>
      <c r="L7045" s="26" t="str">
        <f>VLOOKUP(Tabela1[[#This Row],[Cliente]],'BASE DE CLIENTES'!A:E,5,0)</f>
        <v>TAGUATINGA NORTE</v>
      </c>
    </row>
    <row r="7046" spans="2:12" x14ac:dyDescent="0.3">
      <c r="B7046" t="s">
        <v>68</v>
      </c>
      <c r="C7046" s="26" t="str">
        <f>VLOOKUP(Tabela1[[#This Row],[Cliente]],'BASE DE CLIENTES'!A:E,2,0)</f>
        <v>Brasília</v>
      </c>
      <c r="D7046" s="26" t="str">
        <f>VLOOKUP(Tabela1[[#This Row],[Cliente]],'BASE DE CLIENTES'!A:C,3,0)</f>
        <v>DF</v>
      </c>
      <c r="E7046" s="26" t="str">
        <f>CONCATENATE(Tabela1[[#This Row],[CIDADE]],",",Tabela1[[#This Row],[UF]])</f>
        <v>Brasília,DF</v>
      </c>
      <c r="F7046" s="12">
        <v>46209</v>
      </c>
      <c r="G7046" s="14">
        <v>760</v>
      </c>
      <c r="H7046" s="13">
        <v>1170</v>
      </c>
      <c r="I7046" s="7">
        <f>Tabela1[[#This Row],[Valor total]]-Tabela1[[#This Row],[Valor custo]]</f>
        <v>410</v>
      </c>
      <c r="J7046" s="27">
        <f>Tabela1[[#This Row],[MARGEM BRUTA]]/Tabela1[[#This Row],[Valor total]]</f>
        <v>0.3504273504273504</v>
      </c>
      <c r="K7046" s="26" t="str">
        <f>VLOOKUP(Tabela1[[#This Row],[Cliente]],'BASE DE CLIENTES'!A:D,4,0)</f>
        <v>EMPRESA COM MAQUINA</v>
      </c>
      <c r="L7046" s="26" t="str">
        <f>VLOOKUP(Tabela1[[#This Row],[Cliente]],'BASE DE CLIENTES'!A:E,5,0)</f>
        <v>SAMAMBAIA SUL (SAMAMBAIA)</v>
      </c>
    </row>
    <row r="7047" spans="2:12" x14ac:dyDescent="0.3">
      <c r="B7047" t="s">
        <v>111</v>
      </c>
      <c r="C7047" s="26" t="str">
        <f>VLOOKUP(Tabela1[[#This Row],[Cliente]],'BASE DE CLIENTES'!A:E,2,0)</f>
        <v>Brasília</v>
      </c>
      <c r="D7047" s="26" t="str">
        <f>VLOOKUP(Tabela1[[#This Row],[Cliente]],'BASE DE CLIENTES'!A:C,3,0)</f>
        <v>DF</v>
      </c>
      <c r="E7047" s="26" t="str">
        <f>CONCATENATE(Tabela1[[#This Row],[CIDADE]],",",Tabela1[[#This Row],[UF]])</f>
        <v>Brasília,DF</v>
      </c>
      <c r="F7047" s="12">
        <v>46209</v>
      </c>
      <c r="G7047" s="14">
        <v>926.79</v>
      </c>
      <c r="H7047" s="13">
        <v>1515</v>
      </c>
      <c r="I7047" s="7">
        <f>Tabela1[[#This Row],[Valor total]]-Tabela1[[#This Row],[Valor custo]]</f>
        <v>588.21</v>
      </c>
      <c r="J7047" s="27">
        <f>Tabela1[[#This Row],[MARGEM BRUTA]]/Tabela1[[#This Row],[Valor total]]</f>
        <v>0.38825742574257427</v>
      </c>
      <c r="K7047" s="26" t="str">
        <f>VLOOKUP(Tabela1[[#This Row],[Cliente]],'BASE DE CLIENTES'!A:D,4,0)</f>
        <v>EMPRESA SEM MAQUINA</v>
      </c>
      <c r="L7047" s="26" t="str">
        <f>VLOOKUP(Tabela1[[#This Row],[Cliente]],'BASE DE CLIENTES'!A:E,5,0)</f>
        <v>TAGUATINGA SUL (TAGUATINGA)</v>
      </c>
    </row>
    <row r="7048" spans="2:12" x14ac:dyDescent="0.3">
      <c r="B7048" t="s">
        <v>96</v>
      </c>
      <c r="C7048" s="26" t="str">
        <f>VLOOKUP(Tabela1[[#This Row],[Cliente]],'BASE DE CLIENTES'!A:E,2,0)</f>
        <v>Brasília</v>
      </c>
      <c r="D7048" s="26" t="str">
        <f>VLOOKUP(Tabela1[[#This Row],[Cliente]],'BASE DE CLIENTES'!A:C,3,0)</f>
        <v>DF</v>
      </c>
      <c r="E7048" s="26" t="str">
        <f>CONCATENATE(Tabela1[[#This Row],[CIDADE]],",",Tabela1[[#This Row],[UF]])</f>
        <v>Brasília,DF</v>
      </c>
      <c r="F7048" s="12">
        <v>46209</v>
      </c>
      <c r="G7048" s="14">
        <v>134.69999999999999</v>
      </c>
      <c r="H7048" s="13">
        <v>177</v>
      </c>
      <c r="I7048" s="7">
        <f>Tabela1[[#This Row],[Valor total]]-Tabela1[[#This Row],[Valor custo]]</f>
        <v>42.300000000000011</v>
      </c>
      <c r="J7048" s="27">
        <f>Tabela1[[#This Row],[MARGEM BRUTA]]/Tabela1[[#This Row],[Valor total]]</f>
        <v>0.23898305084745769</v>
      </c>
      <c r="K7048" s="26" t="str">
        <f>VLOOKUP(Tabela1[[#This Row],[Cliente]],'BASE DE CLIENTES'!A:D,4,0)</f>
        <v>EMPRESA SEM MAQUINA</v>
      </c>
      <c r="L7048" s="26" t="str">
        <f>VLOOKUP(Tabela1[[#This Row],[Cliente]],'BASE DE CLIENTES'!A:E,5,0)</f>
        <v>CEILANDIA NORTE (CEILANDIA)</v>
      </c>
    </row>
    <row r="7049" spans="2:12" x14ac:dyDescent="0.3">
      <c r="B7049" t="s">
        <v>128</v>
      </c>
      <c r="C7049" s="26" t="str">
        <f>VLOOKUP(Tabela1[[#This Row],[Cliente]],'BASE DE CLIENTES'!A:E,2,0)</f>
        <v>Brasília</v>
      </c>
      <c r="D7049" s="26" t="str">
        <f>VLOOKUP(Tabela1[[#This Row],[Cliente]],'BASE DE CLIENTES'!A:C,3,0)</f>
        <v>DF</v>
      </c>
      <c r="E7049" s="26" t="str">
        <f>CONCATENATE(Tabela1[[#This Row],[CIDADE]],",",Tabela1[[#This Row],[UF]])</f>
        <v>Brasília,DF</v>
      </c>
      <c r="F7049" s="12">
        <v>46209</v>
      </c>
      <c r="G7049" s="14">
        <v>500</v>
      </c>
      <c r="H7049" s="13">
        <v>700</v>
      </c>
      <c r="I7049" s="7">
        <f>Tabela1[[#This Row],[Valor total]]-Tabela1[[#This Row],[Valor custo]]</f>
        <v>200</v>
      </c>
      <c r="J7049" s="27">
        <f>Tabela1[[#This Row],[MARGEM BRUTA]]/Tabela1[[#This Row],[Valor total]]</f>
        <v>0.2857142857142857</v>
      </c>
      <c r="K7049" s="26" t="str">
        <f>VLOOKUP(Tabela1[[#This Row],[Cliente]],'BASE DE CLIENTES'!A:D,4,0)</f>
        <v>SERRALHEIRO</v>
      </c>
      <c r="L7049" s="26" t="str">
        <f>VLOOKUP(Tabela1[[#This Row],[Cliente]],'BASE DE CLIENTES'!A:E,5,0)</f>
        <v>TAGUATINGA NORTE</v>
      </c>
    </row>
    <row r="7050" spans="2:12" x14ac:dyDescent="0.3">
      <c r="B7050" t="s">
        <v>96</v>
      </c>
      <c r="C7050" s="26" t="str">
        <f>VLOOKUP(Tabela1[[#This Row],[Cliente]],'BASE DE CLIENTES'!A:E,2,0)</f>
        <v>Brasília</v>
      </c>
      <c r="D7050" s="26" t="str">
        <f>VLOOKUP(Tabela1[[#This Row],[Cliente]],'BASE DE CLIENTES'!A:C,3,0)</f>
        <v>DF</v>
      </c>
      <c r="E7050" s="26" t="str">
        <f>CONCATENATE(Tabela1[[#This Row],[CIDADE]],",",Tabela1[[#This Row],[UF]])</f>
        <v>Brasília,DF</v>
      </c>
      <c r="F7050" s="12">
        <v>46209</v>
      </c>
      <c r="G7050" s="14">
        <v>444</v>
      </c>
      <c r="H7050" s="13">
        <v>755</v>
      </c>
      <c r="I7050" s="7">
        <f>Tabela1[[#This Row],[Valor total]]-Tabela1[[#This Row],[Valor custo]]</f>
        <v>311</v>
      </c>
      <c r="J7050" s="27">
        <f>Tabela1[[#This Row],[MARGEM BRUTA]]/Tabela1[[#This Row],[Valor total]]</f>
        <v>0.41192052980132449</v>
      </c>
      <c r="K7050" s="26" t="str">
        <f>VLOOKUP(Tabela1[[#This Row],[Cliente]],'BASE DE CLIENTES'!A:D,4,0)</f>
        <v>EMPRESA SEM MAQUINA</v>
      </c>
      <c r="L7050" s="26" t="str">
        <f>VLOOKUP(Tabela1[[#This Row],[Cliente]],'BASE DE CLIENTES'!A:E,5,0)</f>
        <v>CEILANDIA NORTE (CEILANDIA)</v>
      </c>
    </row>
    <row r="7051" spans="2:12" x14ac:dyDescent="0.3">
      <c r="B7051" t="s">
        <v>1221</v>
      </c>
      <c r="C7051" s="26" t="str">
        <f>VLOOKUP(Tabela1[[#This Row],[Cliente]],'BASE DE CLIENTES'!A:E,2,0)</f>
        <v>Brasília</v>
      </c>
      <c r="D7051" s="26" t="str">
        <f>VLOOKUP(Tabela1[[#This Row],[Cliente]],'BASE DE CLIENTES'!A:C,3,0)</f>
        <v>DF</v>
      </c>
      <c r="E7051" s="26" t="str">
        <f>CONCATENATE(Tabela1[[#This Row],[CIDADE]],",",Tabela1[[#This Row],[UF]])</f>
        <v>Brasília,DF</v>
      </c>
      <c r="F7051" s="12">
        <v>46209</v>
      </c>
      <c r="G7051" s="14">
        <v>7.6</v>
      </c>
      <c r="H7051" s="13">
        <v>10</v>
      </c>
      <c r="I7051" s="7">
        <f>Tabela1[[#This Row],[Valor total]]-Tabela1[[#This Row],[Valor custo]]</f>
        <v>2.4000000000000004</v>
      </c>
      <c r="J7051" s="27">
        <f>Tabela1[[#This Row],[MARGEM BRUTA]]/Tabela1[[#This Row],[Valor total]]</f>
        <v>0.24000000000000005</v>
      </c>
      <c r="K7051" s="26" t="str">
        <f>VLOOKUP(Tabela1[[#This Row],[Cliente]],'BASE DE CLIENTES'!A:D,4,0)</f>
        <v>CLIENTE NOVO S/ IDENT.</v>
      </c>
      <c r="L7051" s="26" t="str">
        <f>VLOOKUP(Tabela1[[#This Row],[Cliente]],'BASE DE CLIENTES'!A:E,5,0)</f>
        <v>SAMAMBAIA SUL</v>
      </c>
    </row>
    <row r="7052" spans="2:12" x14ac:dyDescent="0.3">
      <c r="B7052" t="s">
        <v>23</v>
      </c>
      <c r="C7052" s="26" t="str">
        <f>VLOOKUP(Tabela1[[#This Row],[Cliente]],'BASE DE CLIENTES'!A:E,2,0)</f>
        <v>Brasília</v>
      </c>
      <c r="D7052" s="26" t="str">
        <f>VLOOKUP(Tabela1[[#This Row],[Cliente]],'BASE DE CLIENTES'!A:C,3,0)</f>
        <v>DF</v>
      </c>
      <c r="E7052" s="26" t="str">
        <f>CONCATENATE(Tabela1[[#This Row],[CIDADE]],",",Tabela1[[#This Row],[UF]])</f>
        <v>Brasília,DF</v>
      </c>
      <c r="F7052" s="12">
        <v>46209</v>
      </c>
      <c r="G7052" s="14">
        <v>380</v>
      </c>
      <c r="H7052" s="13">
        <v>550</v>
      </c>
      <c r="I7052" s="7">
        <f>Tabela1[[#This Row],[Valor total]]-Tabela1[[#This Row],[Valor custo]]</f>
        <v>170</v>
      </c>
      <c r="J7052" s="27">
        <f>Tabela1[[#This Row],[MARGEM BRUTA]]/Tabela1[[#This Row],[Valor total]]</f>
        <v>0.30909090909090908</v>
      </c>
      <c r="K7052" s="26" t="str">
        <f>VLOOKUP(Tabela1[[#This Row],[Cliente]],'BASE DE CLIENTES'!A:D,4,0)</f>
        <v>EMPRESA SEM MAQUINA</v>
      </c>
      <c r="L7052" s="26" t="str">
        <f>VLOOKUP(Tabela1[[#This Row],[Cliente]],'BASE DE CLIENTES'!A:E,5,0)</f>
        <v>SETOR INDUSTRIAL (TAGUATINGA)</v>
      </c>
    </row>
    <row r="7053" spans="2:12" x14ac:dyDescent="0.3">
      <c r="B7053" t="s">
        <v>262</v>
      </c>
      <c r="C7053" s="26" t="str">
        <f>VLOOKUP(Tabela1[[#This Row],[Cliente]],'BASE DE CLIENTES'!A:E,2,0)</f>
        <v>Brasília</v>
      </c>
      <c r="D7053" s="26" t="str">
        <f>VLOOKUP(Tabela1[[#This Row],[Cliente]],'BASE DE CLIENTES'!A:C,3,0)</f>
        <v>DF</v>
      </c>
      <c r="E7053" s="26" t="str">
        <f>CONCATENATE(Tabela1[[#This Row],[CIDADE]],",",Tabela1[[#This Row],[UF]])</f>
        <v>Brasília,DF</v>
      </c>
      <c r="F7053" s="12">
        <v>46209</v>
      </c>
      <c r="G7053" s="14">
        <v>12.19</v>
      </c>
      <c r="H7053" s="13">
        <v>15</v>
      </c>
      <c r="I7053" s="7">
        <f>Tabela1[[#This Row],[Valor total]]-Tabela1[[#This Row],[Valor custo]]</f>
        <v>2.8100000000000005</v>
      </c>
      <c r="J7053" s="27">
        <f>Tabela1[[#This Row],[MARGEM BRUTA]]/Tabela1[[#This Row],[Valor total]]</f>
        <v>0.18733333333333338</v>
      </c>
      <c r="K7053" s="26" t="str">
        <f>VLOOKUP(Tabela1[[#This Row],[Cliente]],'BASE DE CLIENTES'!A:D,4,0)</f>
        <v>SERRALHEIRO</v>
      </c>
      <c r="L7053" s="26" t="str">
        <f>VLOOKUP(Tabela1[[#This Row],[Cliente]],'BASE DE CLIENTES'!A:E,5,0)</f>
        <v>SETOR INDUSTRIAL (TAGUATINGA)</v>
      </c>
    </row>
    <row r="7054" spans="2:12" x14ac:dyDescent="0.3">
      <c r="B7054" t="s">
        <v>1221</v>
      </c>
      <c r="C7054" s="26" t="str">
        <f>VLOOKUP(Tabela1[[#This Row],[Cliente]],'BASE DE CLIENTES'!A:E,2,0)</f>
        <v>Brasília</v>
      </c>
      <c r="D7054" s="26" t="str">
        <f>VLOOKUP(Tabela1[[#This Row],[Cliente]],'BASE DE CLIENTES'!A:C,3,0)</f>
        <v>DF</v>
      </c>
      <c r="E7054" s="26" t="str">
        <f>CONCATENATE(Tabela1[[#This Row],[CIDADE]],",",Tabela1[[#This Row],[UF]])</f>
        <v>Brasília,DF</v>
      </c>
      <c r="F7054" s="12">
        <v>46209</v>
      </c>
      <c r="G7054" s="14">
        <v>760</v>
      </c>
      <c r="H7054" s="13">
        <v>1290</v>
      </c>
      <c r="I7054" s="7">
        <f>Tabela1[[#This Row],[Valor total]]-Tabela1[[#This Row],[Valor custo]]</f>
        <v>530</v>
      </c>
      <c r="J7054" s="27">
        <f>Tabela1[[#This Row],[MARGEM BRUTA]]/Tabela1[[#This Row],[Valor total]]</f>
        <v>0.41085271317829458</v>
      </c>
      <c r="K7054" s="26" t="str">
        <f>VLOOKUP(Tabela1[[#This Row],[Cliente]],'BASE DE CLIENTES'!A:D,4,0)</f>
        <v>CLIENTE NOVO S/ IDENT.</v>
      </c>
      <c r="L7054" s="26" t="str">
        <f>VLOOKUP(Tabela1[[#This Row],[Cliente]],'BASE DE CLIENTES'!A:E,5,0)</f>
        <v>SAMAMBAIA SUL</v>
      </c>
    </row>
    <row r="7055" spans="2:12" x14ac:dyDescent="0.3">
      <c r="B7055" t="s">
        <v>262</v>
      </c>
      <c r="C7055" s="26" t="str">
        <f>VLOOKUP(Tabela1[[#This Row],[Cliente]],'BASE DE CLIENTES'!A:E,2,0)</f>
        <v>Brasília</v>
      </c>
      <c r="D7055" s="26" t="str">
        <f>VLOOKUP(Tabela1[[#This Row],[Cliente]],'BASE DE CLIENTES'!A:C,3,0)</f>
        <v>DF</v>
      </c>
      <c r="E7055" s="26" t="str">
        <f>CONCATENATE(Tabela1[[#This Row],[CIDADE]],",",Tabela1[[#This Row],[UF]])</f>
        <v>Brasília,DF</v>
      </c>
      <c r="F7055" s="12">
        <v>46209</v>
      </c>
      <c r="G7055" s="14">
        <v>760</v>
      </c>
      <c r="H7055" s="13">
        <v>1250</v>
      </c>
      <c r="I7055" s="7">
        <f>Tabela1[[#This Row],[Valor total]]-Tabela1[[#This Row],[Valor custo]]</f>
        <v>490</v>
      </c>
      <c r="J7055" s="27">
        <f>Tabela1[[#This Row],[MARGEM BRUTA]]/Tabela1[[#This Row],[Valor total]]</f>
        <v>0.39200000000000002</v>
      </c>
      <c r="K7055" s="26" t="str">
        <f>VLOOKUP(Tabela1[[#This Row],[Cliente]],'BASE DE CLIENTES'!A:D,4,0)</f>
        <v>SERRALHEIRO</v>
      </c>
      <c r="L7055" s="26" t="str">
        <f>VLOOKUP(Tabela1[[#This Row],[Cliente]],'BASE DE CLIENTES'!A:E,5,0)</f>
        <v>SETOR INDUSTRIAL (TAGUATINGA)</v>
      </c>
    </row>
    <row r="7056" spans="2:12" x14ac:dyDescent="0.3">
      <c r="B7056" t="s">
        <v>55</v>
      </c>
      <c r="C7056" s="26" t="str">
        <f>VLOOKUP(Tabela1[[#This Row],[Cliente]],'BASE DE CLIENTES'!A:E,2,0)</f>
        <v>Brasília</v>
      </c>
      <c r="D7056" s="26" t="str">
        <f>VLOOKUP(Tabela1[[#This Row],[Cliente]],'BASE DE CLIENTES'!A:C,3,0)</f>
        <v>DF</v>
      </c>
      <c r="E7056" s="26" t="str">
        <f>CONCATENATE(Tabela1[[#This Row],[CIDADE]],",",Tabela1[[#This Row],[UF]])</f>
        <v>Brasília,DF</v>
      </c>
      <c r="F7056" s="12">
        <v>46209</v>
      </c>
      <c r="G7056" s="14">
        <v>1468.89</v>
      </c>
      <c r="H7056" s="13">
        <v>1900</v>
      </c>
      <c r="I7056" s="7">
        <f>Tabela1[[#This Row],[Valor total]]-Tabela1[[#This Row],[Valor custo]]</f>
        <v>431.1099999999999</v>
      </c>
      <c r="J7056" s="27">
        <f>Tabela1[[#This Row],[MARGEM BRUTA]]/Tabela1[[#This Row],[Valor total]]</f>
        <v>0.22689999999999994</v>
      </c>
      <c r="K7056" s="26" t="str">
        <f>VLOOKUP(Tabela1[[#This Row],[Cliente]],'BASE DE CLIENTES'!A:D,4,0)</f>
        <v>EMPRESA SEM MAQUINA</v>
      </c>
      <c r="L7056" s="26" t="str">
        <f>VLOOKUP(Tabela1[[#This Row],[Cliente]],'BASE DE CLIENTES'!A:E,5,0)</f>
        <v>RECANTO DAS EMAS</v>
      </c>
    </row>
    <row r="7057" spans="2:12" x14ac:dyDescent="0.3">
      <c r="B7057" t="s">
        <v>1168</v>
      </c>
      <c r="C7057" s="26" t="str">
        <f>VLOOKUP(Tabela1[[#This Row],[Cliente]],'BASE DE CLIENTES'!A:E,2,0)</f>
        <v>Brasília</v>
      </c>
      <c r="D7057" s="26" t="str">
        <f>VLOOKUP(Tabela1[[#This Row],[Cliente]],'BASE DE CLIENTES'!A:C,3,0)</f>
        <v>DF</v>
      </c>
      <c r="E7057" s="26" t="str">
        <f>CONCATENATE(Tabela1[[#This Row],[CIDADE]],",",Tabela1[[#This Row],[UF]])</f>
        <v>Brasília,DF</v>
      </c>
      <c r="F7057" s="12">
        <v>46209</v>
      </c>
      <c r="G7057" s="14">
        <v>955</v>
      </c>
      <c r="H7057" s="13">
        <v>1499.5</v>
      </c>
      <c r="I7057" s="7">
        <f>Tabela1[[#This Row],[Valor total]]-Tabela1[[#This Row],[Valor custo]]</f>
        <v>544.5</v>
      </c>
      <c r="J7057" s="27">
        <f>Tabela1[[#This Row],[MARGEM BRUTA]]/Tabela1[[#This Row],[Valor total]]</f>
        <v>0.36312104034678228</v>
      </c>
      <c r="K7057" s="26" t="str">
        <f>VLOOKUP(Tabela1[[#This Row],[Cliente]],'BASE DE CLIENTES'!A:D,4,0)</f>
        <v>CLIENTE NOVO S/ IDENT.</v>
      </c>
      <c r="L7057" s="26" t="str">
        <f>VLOOKUP(Tabela1[[#This Row],[Cliente]],'BASE DE CLIENTES'!A:E,5,0)</f>
        <v>ASA SUL</v>
      </c>
    </row>
    <row r="7058" spans="2:12" x14ac:dyDescent="0.3">
      <c r="B7058" t="s">
        <v>1223</v>
      </c>
      <c r="C7058" s="26" t="str">
        <f>VLOOKUP(Tabela1[[#This Row],[Cliente]],'BASE DE CLIENTES'!A:E,2,0)</f>
        <v>MERCADO LIVRE</v>
      </c>
      <c r="D7058" s="26" t="str">
        <f>VLOOKUP(Tabela1[[#This Row],[Cliente]],'BASE DE CLIENTES'!A:C,3,0)</f>
        <v>MERCADO LIVRE</v>
      </c>
      <c r="E7058" s="26" t="str">
        <f>CONCATENATE(Tabela1[[#This Row],[CIDADE]],",",Tabela1[[#This Row],[UF]])</f>
        <v>MERCADO LIVRE,MERCADO LIVRE</v>
      </c>
      <c r="F7058" s="12">
        <v>46209</v>
      </c>
      <c r="G7058" s="14">
        <v>96</v>
      </c>
      <c r="H7058" s="13">
        <v>169.32</v>
      </c>
      <c r="I7058" s="7">
        <f>Tabela1[[#This Row],[Valor total]]-Tabela1[[#This Row],[Valor custo]]</f>
        <v>73.319999999999993</v>
      </c>
      <c r="J7058" s="27">
        <f>Tabela1[[#This Row],[MARGEM BRUTA]]/Tabela1[[#This Row],[Valor total]]</f>
        <v>0.43302622253720763</v>
      </c>
      <c r="K7058" s="26" t="str">
        <f>VLOOKUP(Tabela1[[#This Row],[Cliente]],'BASE DE CLIENTES'!A:D,4,0)</f>
        <v>OUTROS RAMOS</v>
      </c>
      <c r="L7058" s="26" t="str">
        <f>VLOOKUP(Tabela1[[#This Row],[Cliente]],'BASE DE CLIENTES'!A:E,5,0)</f>
        <v>MERCADO LIVRE</v>
      </c>
    </row>
    <row r="7059" spans="2:12" x14ac:dyDescent="0.3">
      <c r="B7059" t="s">
        <v>1223</v>
      </c>
      <c r="C7059" s="26" t="str">
        <f>VLOOKUP(Tabela1[[#This Row],[Cliente]],'BASE DE CLIENTES'!A:E,2,0)</f>
        <v>MERCADO LIVRE</v>
      </c>
      <c r="D7059" s="26" t="str">
        <f>VLOOKUP(Tabela1[[#This Row],[Cliente]],'BASE DE CLIENTES'!A:C,3,0)</f>
        <v>MERCADO LIVRE</v>
      </c>
      <c r="E7059" s="26" t="str">
        <f>CONCATENATE(Tabela1[[#This Row],[CIDADE]],",",Tabela1[[#This Row],[UF]])</f>
        <v>MERCADO LIVRE,MERCADO LIVRE</v>
      </c>
      <c r="F7059" s="12">
        <v>46209</v>
      </c>
      <c r="G7059" s="14">
        <v>33.56</v>
      </c>
      <c r="H7059" s="13">
        <v>55.03</v>
      </c>
      <c r="I7059" s="7">
        <f>Tabela1[[#This Row],[Valor total]]-Tabela1[[#This Row],[Valor custo]]</f>
        <v>21.47</v>
      </c>
      <c r="J7059" s="27">
        <f>Tabela1[[#This Row],[MARGEM BRUTA]]/Tabela1[[#This Row],[Valor total]]</f>
        <v>0.39015082682173358</v>
      </c>
      <c r="K7059" s="26" t="str">
        <f>VLOOKUP(Tabela1[[#This Row],[Cliente]],'BASE DE CLIENTES'!A:D,4,0)</f>
        <v>OUTROS RAMOS</v>
      </c>
      <c r="L7059" s="26" t="str">
        <f>VLOOKUP(Tabela1[[#This Row],[Cliente]],'BASE DE CLIENTES'!A:E,5,0)</f>
        <v>MERCADO LIVRE</v>
      </c>
    </row>
    <row r="7060" spans="2:12" x14ac:dyDescent="0.3">
      <c r="B7060" t="s">
        <v>1223</v>
      </c>
      <c r="C7060" s="26" t="str">
        <f>VLOOKUP(Tabela1[[#This Row],[Cliente]],'BASE DE CLIENTES'!A:E,2,0)</f>
        <v>MERCADO LIVRE</v>
      </c>
      <c r="D7060" s="26" t="str">
        <f>VLOOKUP(Tabela1[[#This Row],[Cliente]],'BASE DE CLIENTES'!A:C,3,0)</f>
        <v>MERCADO LIVRE</v>
      </c>
      <c r="E7060" s="26" t="str">
        <f>CONCATENATE(Tabela1[[#This Row],[CIDADE]],",",Tabela1[[#This Row],[UF]])</f>
        <v>MERCADO LIVRE,MERCADO LIVRE</v>
      </c>
      <c r="F7060" s="12">
        <v>46209</v>
      </c>
      <c r="G7060" s="14">
        <v>112.56</v>
      </c>
      <c r="H7060" s="13">
        <v>385.62</v>
      </c>
      <c r="I7060" s="7">
        <f>Tabela1[[#This Row],[Valor total]]-Tabela1[[#This Row],[Valor custo]]</f>
        <v>273.06</v>
      </c>
      <c r="J7060" s="27">
        <f>Tabela1[[#This Row],[MARGEM BRUTA]]/Tabela1[[#This Row],[Valor total]]</f>
        <v>0.7081064260152482</v>
      </c>
      <c r="K7060" s="26" t="str">
        <f>VLOOKUP(Tabela1[[#This Row],[Cliente]],'BASE DE CLIENTES'!A:D,4,0)</f>
        <v>OUTROS RAMOS</v>
      </c>
      <c r="L7060" s="26" t="str">
        <f>VLOOKUP(Tabela1[[#This Row],[Cliente]],'BASE DE CLIENTES'!A:E,5,0)</f>
        <v>MERCADO LIVRE</v>
      </c>
    </row>
    <row r="7061" spans="2:12" x14ac:dyDescent="0.3">
      <c r="B7061" t="s">
        <v>1223</v>
      </c>
      <c r="C7061" s="26" t="str">
        <f>VLOOKUP(Tabela1[[#This Row],[Cliente]],'BASE DE CLIENTES'!A:E,2,0)</f>
        <v>MERCADO LIVRE</v>
      </c>
      <c r="D7061" s="26" t="str">
        <f>VLOOKUP(Tabela1[[#This Row],[Cliente]],'BASE DE CLIENTES'!A:C,3,0)</f>
        <v>MERCADO LIVRE</v>
      </c>
      <c r="E7061" s="26" t="str">
        <f>CONCATENATE(Tabela1[[#This Row],[CIDADE]],",",Tabela1[[#This Row],[UF]])</f>
        <v>MERCADO LIVRE,MERCADO LIVRE</v>
      </c>
      <c r="F7061" s="12">
        <v>46209</v>
      </c>
      <c r="G7061" s="14">
        <v>33.56</v>
      </c>
      <c r="H7061" s="13">
        <v>55.33</v>
      </c>
      <c r="I7061" s="7">
        <f>Tabela1[[#This Row],[Valor total]]-Tabela1[[#This Row],[Valor custo]]</f>
        <v>21.769999999999996</v>
      </c>
      <c r="J7061" s="27">
        <f>Tabela1[[#This Row],[MARGEM BRUTA]]/Tabela1[[#This Row],[Valor total]]</f>
        <v>0.39345743719501169</v>
      </c>
      <c r="K7061" s="26" t="str">
        <f>VLOOKUP(Tabela1[[#This Row],[Cliente]],'BASE DE CLIENTES'!A:D,4,0)</f>
        <v>OUTROS RAMOS</v>
      </c>
      <c r="L7061" s="26" t="str">
        <f>VLOOKUP(Tabela1[[#This Row],[Cliente]],'BASE DE CLIENTES'!A:E,5,0)</f>
        <v>MERCADO LIVRE</v>
      </c>
    </row>
    <row r="7062" spans="2:12" x14ac:dyDescent="0.3">
      <c r="B7062" t="s">
        <v>1223</v>
      </c>
      <c r="C7062" s="26" t="str">
        <f>VLOOKUP(Tabela1[[#This Row],[Cliente]],'BASE DE CLIENTES'!A:E,2,0)</f>
        <v>MERCADO LIVRE</v>
      </c>
      <c r="D7062" s="26" t="str">
        <f>VLOOKUP(Tabela1[[#This Row],[Cliente]],'BASE DE CLIENTES'!A:C,3,0)</f>
        <v>MERCADO LIVRE</v>
      </c>
      <c r="E7062" s="26" t="str">
        <f>CONCATENATE(Tabela1[[#This Row],[CIDADE]],",",Tabela1[[#This Row],[UF]])</f>
        <v>MERCADO LIVRE,MERCADO LIVRE</v>
      </c>
      <c r="F7062" s="12">
        <v>46209</v>
      </c>
      <c r="G7062" s="14">
        <v>33.56</v>
      </c>
      <c r="H7062" s="13">
        <v>50.92</v>
      </c>
      <c r="I7062" s="7">
        <f>Tabela1[[#This Row],[Valor total]]-Tabela1[[#This Row],[Valor custo]]</f>
        <v>17.36</v>
      </c>
      <c r="J7062" s="27">
        <f>Tabela1[[#This Row],[MARGEM BRUTA]]/Tabela1[[#This Row],[Valor total]]</f>
        <v>0.34092694422623721</v>
      </c>
      <c r="K7062" s="26" t="str">
        <f>VLOOKUP(Tabela1[[#This Row],[Cliente]],'BASE DE CLIENTES'!A:D,4,0)</f>
        <v>OUTROS RAMOS</v>
      </c>
      <c r="L7062" s="26" t="str">
        <f>VLOOKUP(Tabela1[[#This Row],[Cliente]],'BASE DE CLIENTES'!A:E,5,0)</f>
        <v>MERCADO LIVRE</v>
      </c>
    </row>
    <row r="7063" spans="2:12" x14ac:dyDescent="0.3">
      <c r="B7063" t="s">
        <v>1223</v>
      </c>
      <c r="C7063" s="26" t="str">
        <f>VLOOKUP(Tabela1[[#This Row],[Cliente]],'BASE DE CLIENTES'!A:E,2,0)</f>
        <v>MERCADO LIVRE</v>
      </c>
      <c r="D7063" s="26" t="str">
        <f>VLOOKUP(Tabela1[[#This Row],[Cliente]],'BASE DE CLIENTES'!A:C,3,0)</f>
        <v>MERCADO LIVRE</v>
      </c>
      <c r="E7063" s="26" t="str">
        <f>CONCATENATE(Tabela1[[#This Row],[CIDADE]],",",Tabela1[[#This Row],[UF]])</f>
        <v>MERCADO LIVRE,MERCADO LIVRE</v>
      </c>
      <c r="F7063" s="12">
        <v>46209</v>
      </c>
      <c r="G7063" s="14">
        <v>167.8</v>
      </c>
      <c r="H7063" s="13">
        <v>279.45</v>
      </c>
      <c r="I7063" s="7">
        <f>Tabela1[[#This Row],[Valor total]]-Tabela1[[#This Row],[Valor custo]]</f>
        <v>111.64999999999998</v>
      </c>
      <c r="J7063" s="27">
        <f>Tabela1[[#This Row],[MARGEM BRUTA]]/Tabela1[[#This Row],[Valor total]]</f>
        <v>0.399534800500984</v>
      </c>
      <c r="K7063" s="26" t="str">
        <f>VLOOKUP(Tabela1[[#This Row],[Cliente]],'BASE DE CLIENTES'!A:D,4,0)</f>
        <v>OUTROS RAMOS</v>
      </c>
      <c r="L7063" s="26" t="str">
        <f>VLOOKUP(Tabela1[[#This Row],[Cliente]],'BASE DE CLIENTES'!A:E,5,0)</f>
        <v>MERCADO LIVRE</v>
      </c>
    </row>
    <row r="7064" spans="2:12" x14ac:dyDescent="0.3">
      <c r="B7064" t="s">
        <v>1223</v>
      </c>
      <c r="C7064" s="26" t="str">
        <f>VLOOKUP(Tabela1[[#This Row],[Cliente]],'BASE DE CLIENTES'!A:E,2,0)</f>
        <v>MERCADO LIVRE</v>
      </c>
      <c r="D7064" s="26" t="str">
        <f>VLOOKUP(Tabela1[[#This Row],[Cliente]],'BASE DE CLIENTES'!A:C,3,0)</f>
        <v>MERCADO LIVRE</v>
      </c>
      <c r="E7064" s="26" t="str">
        <f>CONCATENATE(Tabela1[[#This Row],[CIDADE]],",",Tabela1[[#This Row],[UF]])</f>
        <v>MERCADO LIVRE,MERCADO LIVRE</v>
      </c>
      <c r="F7064" s="12">
        <v>46209</v>
      </c>
      <c r="G7064" s="14">
        <v>167.8</v>
      </c>
      <c r="H7064" s="13">
        <v>275.60000000000002</v>
      </c>
      <c r="I7064" s="7">
        <f>Tabela1[[#This Row],[Valor total]]-Tabela1[[#This Row],[Valor custo]]</f>
        <v>107.80000000000001</v>
      </c>
      <c r="J7064" s="27">
        <f>Tabela1[[#This Row],[MARGEM BRUTA]]/Tabela1[[#This Row],[Valor total]]</f>
        <v>0.39114658925979684</v>
      </c>
      <c r="K7064" s="26" t="str">
        <f>VLOOKUP(Tabela1[[#This Row],[Cliente]],'BASE DE CLIENTES'!A:D,4,0)</f>
        <v>OUTROS RAMOS</v>
      </c>
      <c r="L7064" s="26" t="str">
        <f>VLOOKUP(Tabela1[[#This Row],[Cliente]],'BASE DE CLIENTES'!A:E,5,0)</f>
        <v>MERCADO LIVRE</v>
      </c>
    </row>
    <row r="7065" spans="2:12" x14ac:dyDescent="0.3">
      <c r="B7065" t="s">
        <v>78</v>
      </c>
      <c r="C7065" s="26" t="str">
        <f>VLOOKUP(Tabela1[[#This Row],[Cliente]],'BASE DE CLIENTES'!A:E,2,0)</f>
        <v>Brasília</v>
      </c>
      <c r="D7065" s="26" t="str">
        <f>VLOOKUP(Tabela1[[#This Row],[Cliente]],'BASE DE CLIENTES'!A:C,3,0)</f>
        <v>DF</v>
      </c>
      <c r="E7065" s="26" t="str">
        <f>CONCATENATE(Tabela1[[#This Row],[CIDADE]],",",Tabela1[[#This Row],[UF]])</f>
        <v>Brasília,DF</v>
      </c>
      <c r="F7065" s="12">
        <v>46206</v>
      </c>
      <c r="G7065" s="14">
        <v>90.06</v>
      </c>
      <c r="H7065" s="13">
        <v>170</v>
      </c>
      <c r="I7065" s="7">
        <f>Tabela1[[#This Row],[Valor total]]-Tabela1[[#This Row],[Valor custo]]</f>
        <v>79.94</v>
      </c>
      <c r="J7065" s="27">
        <f>Tabela1[[#This Row],[MARGEM BRUTA]]/Tabela1[[#This Row],[Valor total]]</f>
        <v>0.47023529411764703</v>
      </c>
      <c r="K7065" s="26" t="str">
        <f>VLOOKUP(Tabela1[[#This Row],[Cliente]],'BASE DE CLIENTES'!A:D,4,0)</f>
        <v>SERRALHEIRO</v>
      </c>
      <c r="L7065" s="26" t="str">
        <f>VLOOKUP(Tabela1[[#This Row],[Cliente]],'BASE DE CLIENTES'!A:E,5,0)</f>
        <v>Vila do Boa (São Sebastião)</v>
      </c>
    </row>
    <row r="7066" spans="2:12" x14ac:dyDescent="0.3">
      <c r="B7066" t="s">
        <v>1209</v>
      </c>
      <c r="C7066" s="26" t="str">
        <f>VLOOKUP(Tabela1[[#This Row],[Cliente]],'BASE DE CLIENTES'!A:E,2,0)</f>
        <v>Brasília</v>
      </c>
      <c r="D7066" s="26" t="str">
        <f>VLOOKUP(Tabela1[[#This Row],[Cliente]],'BASE DE CLIENTES'!A:C,3,0)</f>
        <v>DF</v>
      </c>
      <c r="E7066" s="26" t="str">
        <f>CONCATENATE(Tabela1[[#This Row],[CIDADE]],",",Tabela1[[#This Row],[UF]])</f>
        <v>Brasília,DF</v>
      </c>
      <c r="F7066" s="12">
        <v>46206</v>
      </c>
      <c r="G7066" s="14">
        <v>15.2</v>
      </c>
      <c r="H7066" s="13">
        <v>70</v>
      </c>
      <c r="I7066" s="7">
        <f>Tabela1[[#This Row],[Valor total]]-Tabela1[[#This Row],[Valor custo]]</f>
        <v>54.8</v>
      </c>
      <c r="J7066" s="27">
        <f>Tabela1[[#This Row],[MARGEM BRUTA]]/Tabela1[[#This Row],[Valor total]]</f>
        <v>0.78285714285714281</v>
      </c>
      <c r="K7066" s="26" t="str">
        <f>VLOOKUP(Tabela1[[#This Row],[Cliente]],'BASE DE CLIENTES'!A:D,4,0)</f>
        <v>CLIENTE NOVO S/ IDENT.</v>
      </c>
      <c r="L7066" s="26" t="str">
        <f>VLOOKUP(Tabela1[[#This Row],[Cliente]],'BASE DE CLIENTES'!A:E,5,0)</f>
        <v>TAGUATINGA</v>
      </c>
    </row>
    <row r="7067" spans="2:12" x14ac:dyDescent="0.3">
      <c r="B7067" t="s">
        <v>68</v>
      </c>
      <c r="C7067" s="26" t="str">
        <f>VLOOKUP(Tabela1[[#This Row],[Cliente]],'BASE DE CLIENTES'!A:E,2,0)</f>
        <v>Brasília</v>
      </c>
      <c r="D7067" s="26" t="str">
        <f>VLOOKUP(Tabela1[[#This Row],[Cliente]],'BASE DE CLIENTES'!A:C,3,0)</f>
        <v>DF</v>
      </c>
      <c r="E7067" s="26" t="str">
        <f>CONCATENATE(Tabela1[[#This Row],[CIDADE]],",",Tabela1[[#This Row],[UF]])</f>
        <v>Brasília,DF</v>
      </c>
      <c r="F7067" s="12">
        <v>46206</v>
      </c>
      <c r="G7067" s="14">
        <v>1499.23</v>
      </c>
      <c r="H7067" s="13">
        <v>2490</v>
      </c>
      <c r="I7067" s="7">
        <f>Tabela1[[#This Row],[Valor total]]-Tabela1[[#This Row],[Valor custo]]</f>
        <v>990.77</v>
      </c>
      <c r="J7067" s="27">
        <f>Tabela1[[#This Row],[MARGEM BRUTA]]/Tabela1[[#This Row],[Valor total]]</f>
        <v>0.39789959839357431</v>
      </c>
      <c r="K7067" s="26" t="str">
        <f>VLOOKUP(Tabela1[[#This Row],[Cliente]],'BASE DE CLIENTES'!A:D,4,0)</f>
        <v>EMPRESA COM MAQUINA</v>
      </c>
      <c r="L7067" s="26" t="str">
        <f>VLOOKUP(Tabela1[[#This Row],[Cliente]],'BASE DE CLIENTES'!A:E,5,0)</f>
        <v>SAMAMBAIA SUL (SAMAMBAIA)</v>
      </c>
    </row>
    <row r="7068" spans="2:12" x14ac:dyDescent="0.3">
      <c r="B7068" t="s">
        <v>187</v>
      </c>
      <c r="C7068" s="26" t="str">
        <f>VLOOKUP(Tabela1[[#This Row],[Cliente]],'BASE DE CLIENTES'!A:E,2,0)</f>
        <v>Brasília</v>
      </c>
      <c r="D7068" s="26" t="str">
        <f>VLOOKUP(Tabela1[[#This Row],[Cliente]],'BASE DE CLIENTES'!A:C,3,0)</f>
        <v>DF</v>
      </c>
      <c r="E7068" s="26" t="str">
        <f>CONCATENATE(Tabela1[[#This Row],[CIDADE]],",",Tabela1[[#This Row],[UF]])</f>
        <v>Brasília,DF</v>
      </c>
      <c r="F7068" s="12">
        <v>46206</v>
      </c>
      <c r="G7068" s="14">
        <v>760</v>
      </c>
      <c r="H7068" s="13">
        <v>1230</v>
      </c>
      <c r="I7068" s="7">
        <f>Tabela1[[#This Row],[Valor total]]-Tabela1[[#This Row],[Valor custo]]</f>
        <v>470</v>
      </c>
      <c r="J7068" s="27">
        <f>Tabela1[[#This Row],[MARGEM BRUTA]]/Tabela1[[#This Row],[Valor total]]</f>
        <v>0.38211382113821141</v>
      </c>
      <c r="K7068" s="26" t="str">
        <f>VLOOKUP(Tabela1[[#This Row],[Cliente]],'BASE DE CLIENTES'!A:D,4,0)</f>
        <v>SERRALHEIRO</v>
      </c>
      <c r="L7068" s="26" t="str">
        <f>VLOOKUP(Tabela1[[#This Row],[Cliente]],'BASE DE CLIENTES'!A:E,5,0)</f>
        <v>CEILANDIA SUL (CEILANDIA)</v>
      </c>
    </row>
    <row r="7069" spans="2:12" x14ac:dyDescent="0.3">
      <c r="B7069" t="s">
        <v>30</v>
      </c>
      <c r="C7069" s="26" t="str">
        <f>VLOOKUP(Tabela1[[#This Row],[Cliente]],'BASE DE CLIENTES'!A:E,2,0)</f>
        <v>Águas Lindas de Goiás</v>
      </c>
      <c r="D7069" s="26" t="str">
        <f>VLOOKUP(Tabela1[[#This Row],[Cliente]],'BASE DE CLIENTES'!A:C,3,0)</f>
        <v>GO</v>
      </c>
      <c r="E7069" s="26" t="str">
        <f>CONCATENATE(Tabela1[[#This Row],[CIDADE]],",",Tabela1[[#This Row],[UF]])</f>
        <v>Águas Lindas de Goiás,GO</v>
      </c>
      <c r="F7069" s="12">
        <v>46206</v>
      </c>
      <c r="G7069" s="14">
        <v>380</v>
      </c>
      <c r="H7069" s="13">
        <v>615</v>
      </c>
      <c r="I7069" s="7">
        <f>Tabela1[[#This Row],[Valor total]]-Tabela1[[#This Row],[Valor custo]]</f>
        <v>235</v>
      </c>
      <c r="J7069" s="27">
        <f>Tabela1[[#This Row],[MARGEM BRUTA]]/Tabela1[[#This Row],[Valor total]]</f>
        <v>0.38211382113821141</v>
      </c>
      <c r="K7069" s="26" t="str">
        <f>VLOOKUP(Tabela1[[#This Row],[Cliente]],'BASE DE CLIENTES'!A:D,4,0)</f>
        <v>SERRALHEIRO</v>
      </c>
      <c r="L7069" s="26" t="str">
        <f>VLOOKUP(Tabela1[[#This Row],[Cliente]],'BASE DE CLIENTES'!A:E,5,0)</f>
        <v>Águas Lindas de Goiás</v>
      </c>
    </row>
    <row r="7070" spans="2:12" x14ac:dyDescent="0.3">
      <c r="B7070" t="s">
        <v>23</v>
      </c>
      <c r="C7070" s="26" t="str">
        <f>VLOOKUP(Tabela1[[#This Row],[Cliente]],'BASE DE CLIENTES'!A:E,2,0)</f>
        <v>Brasília</v>
      </c>
      <c r="D7070" s="26" t="str">
        <f>VLOOKUP(Tabela1[[#This Row],[Cliente]],'BASE DE CLIENTES'!A:C,3,0)</f>
        <v>DF</v>
      </c>
      <c r="E7070" s="26" t="str">
        <f>CONCATENATE(Tabela1[[#This Row],[CIDADE]],",",Tabela1[[#This Row],[UF]])</f>
        <v>Brasília,DF</v>
      </c>
      <c r="F7070" s="12">
        <v>46206</v>
      </c>
      <c r="G7070" s="14">
        <v>760</v>
      </c>
      <c r="H7070" s="13">
        <v>1100</v>
      </c>
      <c r="I7070" s="7">
        <f>Tabela1[[#This Row],[Valor total]]-Tabela1[[#This Row],[Valor custo]]</f>
        <v>340</v>
      </c>
      <c r="J7070" s="27">
        <f>Tabela1[[#This Row],[MARGEM BRUTA]]/Tabela1[[#This Row],[Valor total]]</f>
        <v>0.30909090909090908</v>
      </c>
      <c r="K7070" s="26" t="str">
        <f>VLOOKUP(Tabela1[[#This Row],[Cliente]],'BASE DE CLIENTES'!A:D,4,0)</f>
        <v>EMPRESA SEM MAQUINA</v>
      </c>
      <c r="L7070" s="26" t="str">
        <f>VLOOKUP(Tabela1[[#This Row],[Cliente]],'BASE DE CLIENTES'!A:E,5,0)</f>
        <v>SETOR INDUSTRIAL (TAGUATINGA)</v>
      </c>
    </row>
    <row r="7071" spans="2:12" x14ac:dyDescent="0.3">
      <c r="B7071" t="s">
        <v>264</v>
      </c>
      <c r="C7071" s="26" t="str">
        <f>VLOOKUP(Tabela1[[#This Row],[Cliente]],'BASE DE CLIENTES'!A:E,2,0)</f>
        <v>Brasília</v>
      </c>
      <c r="D7071" s="26" t="str">
        <f>VLOOKUP(Tabela1[[#This Row],[Cliente]],'BASE DE CLIENTES'!A:C,3,0)</f>
        <v>DF</v>
      </c>
      <c r="E7071" s="26" t="str">
        <f>CONCATENATE(Tabela1[[#This Row],[CIDADE]],",",Tabela1[[#This Row],[UF]])</f>
        <v>Brasília,DF</v>
      </c>
      <c r="F7071" s="12">
        <v>46206</v>
      </c>
      <c r="G7071" s="14">
        <v>380</v>
      </c>
      <c r="H7071" s="13">
        <v>650</v>
      </c>
      <c r="I7071" s="7">
        <f>Tabela1[[#This Row],[Valor total]]-Tabela1[[#This Row],[Valor custo]]</f>
        <v>270</v>
      </c>
      <c r="J7071" s="27">
        <f>Tabela1[[#This Row],[MARGEM BRUTA]]/Tabela1[[#This Row],[Valor total]]</f>
        <v>0.41538461538461541</v>
      </c>
      <c r="K7071" s="26" t="str">
        <f>VLOOKUP(Tabela1[[#This Row],[Cliente]],'BASE DE CLIENTES'!A:D,4,0)</f>
        <v>SERRALHEIRO</v>
      </c>
      <c r="L7071" s="26" t="str">
        <f>VLOOKUP(Tabela1[[#This Row],[Cliente]],'BASE DE CLIENTES'!A:E,5,0)</f>
        <v>Recanto das emas</v>
      </c>
    </row>
    <row r="7072" spans="2:12" x14ac:dyDescent="0.3">
      <c r="B7072" t="s">
        <v>19</v>
      </c>
      <c r="C7072" s="26" t="str">
        <f>VLOOKUP(Tabela1[[#This Row],[Cliente]],'BASE DE CLIENTES'!A:E,2,0)</f>
        <v>Águas Lindas de Goiás</v>
      </c>
      <c r="D7072" s="26" t="str">
        <f>VLOOKUP(Tabela1[[#This Row],[Cliente]],'BASE DE CLIENTES'!A:C,3,0)</f>
        <v>GO</v>
      </c>
      <c r="E7072" s="26" t="str">
        <f>CONCATENATE(Tabela1[[#This Row],[CIDADE]],",",Tabela1[[#This Row],[UF]])</f>
        <v>Águas Lindas de Goiás,GO</v>
      </c>
      <c r="F7072" s="12">
        <v>46206</v>
      </c>
      <c r="G7072" s="14">
        <v>2342.36</v>
      </c>
      <c r="H7072" s="13">
        <v>4095</v>
      </c>
      <c r="I7072" s="7">
        <f>Tabela1[[#This Row],[Valor total]]-Tabela1[[#This Row],[Valor custo]]</f>
        <v>1752.6399999999999</v>
      </c>
      <c r="J7072" s="27">
        <f>Tabela1[[#This Row],[MARGEM BRUTA]]/Tabela1[[#This Row],[Valor total]]</f>
        <v>0.42799511599511597</v>
      </c>
      <c r="K7072" s="26" t="str">
        <f>VLOOKUP(Tabela1[[#This Row],[Cliente]],'BASE DE CLIENTES'!A:D,4,0)</f>
        <v>SERRALHEIRO</v>
      </c>
      <c r="L7072" s="26" t="str">
        <f>VLOOKUP(Tabela1[[#This Row],[Cliente]],'BASE DE CLIENTES'!A:E,5,0)</f>
        <v>Águas Lindas de Goiás</v>
      </c>
    </row>
    <row r="7073" spans="2:12" x14ac:dyDescent="0.3">
      <c r="B7073" t="s">
        <v>111</v>
      </c>
      <c r="C7073" s="26" t="str">
        <f>VLOOKUP(Tabela1[[#This Row],[Cliente]],'BASE DE CLIENTES'!A:E,2,0)</f>
        <v>Brasília</v>
      </c>
      <c r="D7073" s="26" t="str">
        <f>VLOOKUP(Tabela1[[#This Row],[Cliente]],'BASE DE CLIENTES'!A:C,3,0)</f>
        <v>DF</v>
      </c>
      <c r="E7073" s="26" t="str">
        <f>CONCATENATE(Tabela1[[#This Row],[CIDADE]],",",Tabela1[[#This Row],[UF]])</f>
        <v>Brasília,DF</v>
      </c>
      <c r="F7073" s="12">
        <v>46206</v>
      </c>
      <c r="G7073" s="14">
        <v>670</v>
      </c>
      <c r="H7073" s="13">
        <v>1100</v>
      </c>
      <c r="I7073" s="7">
        <f>Tabela1[[#This Row],[Valor total]]-Tabela1[[#This Row],[Valor custo]]</f>
        <v>430</v>
      </c>
      <c r="J7073" s="27">
        <f>Tabela1[[#This Row],[MARGEM BRUTA]]/Tabela1[[#This Row],[Valor total]]</f>
        <v>0.39090909090909093</v>
      </c>
      <c r="K7073" s="26" t="str">
        <f>VLOOKUP(Tabela1[[#This Row],[Cliente]],'BASE DE CLIENTES'!A:D,4,0)</f>
        <v>EMPRESA SEM MAQUINA</v>
      </c>
      <c r="L7073" s="26" t="str">
        <f>VLOOKUP(Tabela1[[#This Row],[Cliente]],'BASE DE CLIENTES'!A:E,5,0)</f>
        <v>TAGUATINGA SUL (TAGUATINGA)</v>
      </c>
    </row>
    <row r="7074" spans="2:12" x14ac:dyDescent="0.3">
      <c r="B7074" t="s">
        <v>27</v>
      </c>
      <c r="C7074" s="26" t="str">
        <f>VLOOKUP(Tabela1[[#This Row],[Cliente]],'BASE DE CLIENTES'!A:E,2,0)</f>
        <v>Brasília</v>
      </c>
      <c r="D7074" s="26" t="str">
        <f>VLOOKUP(Tabela1[[#This Row],[Cliente]],'BASE DE CLIENTES'!A:C,3,0)</f>
        <v>DF</v>
      </c>
      <c r="E7074" s="26" t="str">
        <f>CONCATENATE(Tabela1[[#This Row],[CIDADE]],",",Tabela1[[#This Row],[UF]])</f>
        <v>Brasília,DF</v>
      </c>
      <c r="F7074" s="12">
        <v>46205</v>
      </c>
      <c r="G7074" s="14">
        <v>863</v>
      </c>
      <c r="H7074" s="13">
        <v>1120</v>
      </c>
      <c r="I7074" s="7">
        <f>Tabela1[[#This Row],[Valor total]]-Tabela1[[#This Row],[Valor custo]]</f>
        <v>257</v>
      </c>
      <c r="J7074" s="27">
        <f>Tabela1[[#This Row],[MARGEM BRUTA]]/Tabela1[[#This Row],[Valor total]]</f>
        <v>0.2294642857142857</v>
      </c>
      <c r="K7074" s="26" t="str">
        <f>VLOOKUP(Tabela1[[#This Row],[Cliente]],'BASE DE CLIENTES'!A:D,4,0)</f>
        <v>EMPRESA SEM MAQUINA</v>
      </c>
      <c r="L7074" s="26" t="str">
        <f>VLOOKUP(Tabela1[[#This Row],[Cliente]],'BASE DE CLIENTES'!A:E,5,0)</f>
        <v>RECANTO DAS EMAS</v>
      </c>
    </row>
    <row r="7075" spans="2:12" x14ac:dyDescent="0.3">
      <c r="B7075" t="s">
        <v>183</v>
      </c>
      <c r="C7075" s="26" t="str">
        <f>VLOOKUP(Tabela1[[#This Row],[Cliente]],'BASE DE CLIENTES'!A:E,2,0)</f>
        <v>Caldas Novas</v>
      </c>
      <c r="D7075" s="26" t="str">
        <f>VLOOKUP(Tabela1[[#This Row],[Cliente]],'BASE DE CLIENTES'!A:C,3,0)</f>
        <v>GO</v>
      </c>
      <c r="E7075" s="26" t="str">
        <f>CONCATENATE(Tabela1[[#This Row],[CIDADE]],",",Tabela1[[#This Row],[UF]])</f>
        <v>Caldas Novas,GO</v>
      </c>
      <c r="F7075" s="12">
        <v>46205</v>
      </c>
      <c r="G7075" s="14">
        <v>4341.72</v>
      </c>
      <c r="H7075" s="13">
        <v>6619</v>
      </c>
      <c r="I7075" s="7">
        <f>Tabela1[[#This Row],[Valor total]]-Tabela1[[#This Row],[Valor custo]]</f>
        <v>2277.2799999999997</v>
      </c>
      <c r="J7075" s="27">
        <f>Tabela1[[#This Row],[MARGEM BRUTA]]/Tabela1[[#This Row],[Valor total]]</f>
        <v>0.34405197159691792</v>
      </c>
      <c r="K7075" s="26" t="str">
        <f>VLOOKUP(Tabela1[[#This Row],[Cliente]],'BASE DE CLIENTES'!A:D,4,0)</f>
        <v>EMPRESA COM MAQUINA</v>
      </c>
      <c r="L7075" s="26" t="str">
        <f>VLOOKUP(Tabela1[[#This Row],[Cliente]],'BASE DE CLIENTES'!A:E,5,0)</f>
        <v>Caldas Novas</v>
      </c>
    </row>
    <row r="7076" spans="2:12" x14ac:dyDescent="0.3">
      <c r="B7076" t="s">
        <v>59</v>
      </c>
      <c r="C7076" s="26" t="str">
        <f>VLOOKUP(Tabela1[[#This Row],[Cliente]],'BASE DE CLIENTES'!A:E,2,0)</f>
        <v>Brasília</v>
      </c>
      <c r="D7076" s="26" t="str">
        <f>VLOOKUP(Tabela1[[#This Row],[Cliente]],'BASE DE CLIENTES'!A:C,3,0)</f>
        <v>DF</v>
      </c>
      <c r="E7076" s="26" t="str">
        <f>CONCATENATE(Tabela1[[#This Row],[CIDADE]],",",Tabela1[[#This Row],[UF]])</f>
        <v>Brasília,DF</v>
      </c>
      <c r="F7076" s="12">
        <v>46205</v>
      </c>
      <c r="G7076" s="14">
        <v>25</v>
      </c>
      <c r="H7076" s="13">
        <v>110</v>
      </c>
      <c r="I7076" s="7">
        <f>Tabela1[[#This Row],[Valor total]]-Tabela1[[#This Row],[Valor custo]]</f>
        <v>85</v>
      </c>
      <c r="J7076" s="27">
        <f>Tabela1[[#This Row],[MARGEM BRUTA]]/Tabela1[[#This Row],[Valor total]]</f>
        <v>0.77272727272727271</v>
      </c>
      <c r="K7076" s="26" t="str">
        <f>VLOOKUP(Tabela1[[#This Row],[Cliente]],'BASE DE CLIENTES'!A:D,4,0)</f>
        <v>EMPRESA COM MAQUINA</v>
      </c>
      <c r="L7076" s="26" t="str">
        <f>VLOOKUP(Tabela1[[#This Row],[Cliente]],'BASE DE CLIENTES'!A:E,5,0)</f>
        <v>SETOR HABITACIONAL VICENTE PIRES</v>
      </c>
    </row>
    <row r="7077" spans="2:12" x14ac:dyDescent="0.3">
      <c r="B7077" t="s">
        <v>112</v>
      </c>
      <c r="C7077" s="26" t="str">
        <f>VLOOKUP(Tabela1[[#This Row],[Cliente]],'BASE DE CLIENTES'!A:E,2,0)</f>
        <v>Brasília</v>
      </c>
      <c r="D7077" s="26" t="str">
        <f>VLOOKUP(Tabela1[[#This Row],[Cliente]],'BASE DE CLIENTES'!A:C,3,0)</f>
        <v>DF</v>
      </c>
      <c r="E7077" s="26" t="str">
        <f>CONCATENATE(Tabela1[[#This Row],[CIDADE]],",",Tabela1[[#This Row],[UF]])</f>
        <v>Brasília,DF</v>
      </c>
      <c r="F7077" s="12">
        <v>46205</v>
      </c>
      <c r="G7077" s="14">
        <v>800.2</v>
      </c>
      <c r="H7077" s="13">
        <v>1470</v>
      </c>
      <c r="I7077" s="7">
        <f>Tabela1[[#This Row],[Valor total]]-Tabela1[[#This Row],[Valor custo]]</f>
        <v>669.8</v>
      </c>
      <c r="J7077" s="27">
        <f>Tabela1[[#This Row],[MARGEM BRUTA]]/Tabela1[[#This Row],[Valor total]]</f>
        <v>0.45564625850340135</v>
      </c>
      <c r="K7077" s="26" t="str">
        <f>VLOOKUP(Tabela1[[#This Row],[Cliente]],'BASE DE CLIENTES'!A:D,4,0)</f>
        <v>SERRALHEIRO</v>
      </c>
      <c r="L7077" s="26" t="str">
        <f>VLOOKUP(Tabela1[[#This Row],[Cliente]],'BASE DE CLIENTES'!A:E,5,0)</f>
        <v>RIACHO FUNDO I</v>
      </c>
    </row>
    <row r="7078" spans="2:12" x14ac:dyDescent="0.3">
      <c r="B7078" t="s">
        <v>1147</v>
      </c>
      <c r="C7078" s="26" t="str">
        <f>VLOOKUP(Tabela1[[#This Row],[Cliente]],'BASE DE CLIENTES'!A:E,2,0)</f>
        <v>Salvador</v>
      </c>
      <c r="D7078" s="26" t="str">
        <f>VLOOKUP(Tabela1[[#This Row],[Cliente]],'BASE DE CLIENTES'!A:C,3,0)</f>
        <v>BA</v>
      </c>
      <c r="E7078" s="26" t="str">
        <f>CONCATENATE(Tabela1[[#This Row],[CIDADE]],",",Tabela1[[#This Row],[UF]])</f>
        <v>Salvador,BA</v>
      </c>
      <c r="F7078" s="12">
        <v>46205</v>
      </c>
      <c r="G7078" s="14">
        <v>4872</v>
      </c>
      <c r="H7078" s="13">
        <v>8186.8</v>
      </c>
      <c r="I7078" s="7">
        <f>Tabela1[[#This Row],[Valor total]]-Tabela1[[#This Row],[Valor custo]]</f>
        <v>3314.8</v>
      </c>
      <c r="J7078" s="27">
        <f>Tabela1[[#This Row],[MARGEM BRUTA]]/Tabela1[[#This Row],[Valor total]]</f>
        <v>0.40489568573801732</v>
      </c>
      <c r="K7078" s="26" t="str">
        <f>VLOOKUP(Tabela1[[#This Row],[Cliente]],'BASE DE CLIENTES'!A:D,4,0)</f>
        <v>CLIENTE NOVO S/ IDENT.</v>
      </c>
      <c r="L7078" s="26" t="str">
        <f>VLOOKUP(Tabela1[[#This Row],[Cliente]],'BASE DE CLIENTES'!A:E,5,0)</f>
        <v>Salvador</v>
      </c>
    </row>
    <row r="7079" spans="2:12" x14ac:dyDescent="0.3">
      <c r="B7079" t="s">
        <v>52</v>
      </c>
      <c r="C7079" s="26" t="str">
        <f>VLOOKUP(Tabela1[[#This Row],[Cliente]],'BASE DE CLIENTES'!A:E,2,0)</f>
        <v>Brasília</v>
      </c>
      <c r="D7079" s="26" t="str">
        <f>VLOOKUP(Tabela1[[#This Row],[Cliente]],'BASE DE CLIENTES'!A:C,3,0)</f>
        <v>DF</v>
      </c>
      <c r="E7079" s="26" t="str">
        <f>CONCATENATE(Tabela1[[#This Row],[CIDADE]],",",Tabela1[[#This Row],[UF]])</f>
        <v>Brasília,DF</v>
      </c>
      <c r="F7079" s="12">
        <v>46205</v>
      </c>
      <c r="G7079" s="14">
        <v>250</v>
      </c>
      <c r="H7079" s="13">
        <v>500</v>
      </c>
      <c r="I7079" s="7">
        <f>Tabela1[[#This Row],[Valor total]]-Tabela1[[#This Row],[Valor custo]]</f>
        <v>250</v>
      </c>
      <c r="J7079" s="27">
        <f>Tabela1[[#This Row],[MARGEM BRUTA]]/Tabela1[[#This Row],[Valor total]]</f>
        <v>0.5</v>
      </c>
      <c r="K7079" s="26" t="str">
        <f>VLOOKUP(Tabela1[[#This Row],[Cliente]],'BASE DE CLIENTES'!A:D,4,0)</f>
        <v>SERRALHEIRO</v>
      </c>
      <c r="L7079" s="26" t="str">
        <f>VLOOKUP(Tabela1[[#This Row],[Cliente]],'BASE DE CLIENTES'!A:E,5,0)</f>
        <v>Ceilândia Sul (Ceilândia)</v>
      </c>
    </row>
    <row r="7080" spans="2:12" x14ac:dyDescent="0.3">
      <c r="B7080" t="s">
        <v>120</v>
      </c>
      <c r="C7080" s="26" t="str">
        <f>VLOOKUP(Tabela1[[#This Row],[Cliente]],'BASE DE CLIENTES'!A:E,2,0)</f>
        <v>Brasília</v>
      </c>
      <c r="D7080" s="26" t="str">
        <f>VLOOKUP(Tabela1[[#This Row],[Cliente]],'BASE DE CLIENTES'!A:C,3,0)</f>
        <v>DF</v>
      </c>
      <c r="E7080" s="26" t="str">
        <f>CONCATENATE(Tabela1[[#This Row],[CIDADE]],",",Tabela1[[#This Row],[UF]])</f>
        <v>Brasília,DF</v>
      </c>
      <c r="F7080" s="12">
        <v>46205</v>
      </c>
      <c r="G7080" s="14">
        <v>1010.48</v>
      </c>
      <c r="H7080" s="13">
        <v>1620</v>
      </c>
      <c r="I7080" s="7">
        <f>Tabela1[[#This Row],[Valor total]]-Tabela1[[#This Row],[Valor custo]]</f>
        <v>609.52</v>
      </c>
      <c r="J7080" s="27">
        <f>Tabela1[[#This Row],[MARGEM BRUTA]]/Tabela1[[#This Row],[Valor total]]</f>
        <v>0.37624691358024692</v>
      </c>
      <c r="K7080" s="26" t="str">
        <f>VLOOKUP(Tabela1[[#This Row],[Cliente]],'BASE DE CLIENTES'!A:D,4,0)</f>
        <v>EMPRESA SEM MAQUINA</v>
      </c>
      <c r="L7080" s="26" t="str">
        <f>VLOOKUP(Tabela1[[#This Row],[Cliente]],'BASE DE CLIENTES'!A:E,5,0)</f>
        <v>SAMAMBAIA</v>
      </c>
    </row>
    <row r="7081" spans="2:12" x14ac:dyDescent="0.3">
      <c r="B7081" t="s">
        <v>1223</v>
      </c>
      <c r="C7081" s="26" t="str">
        <f>VLOOKUP(Tabela1[[#This Row],[Cliente]],'BASE DE CLIENTES'!A:E,2,0)</f>
        <v>MERCADO LIVRE</v>
      </c>
      <c r="D7081" s="26" t="str">
        <f>VLOOKUP(Tabela1[[#This Row],[Cliente]],'BASE DE CLIENTES'!A:C,3,0)</f>
        <v>MERCADO LIVRE</v>
      </c>
      <c r="E7081" s="26" t="str">
        <f>CONCATENATE(Tabela1[[#This Row],[CIDADE]],",",Tabela1[[#This Row],[UF]])</f>
        <v>MERCADO LIVRE,MERCADO LIVRE</v>
      </c>
      <c r="F7081" s="12">
        <v>46205</v>
      </c>
      <c r="G7081" s="14">
        <v>104.84</v>
      </c>
      <c r="H7081" s="13">
        <v>272.87</v>
      </c>
      <c r="I7081" s="7">
        <f>Tabela1[[#This Row],[Valor total]]-Tabela1[[#This Row],[Valor custo]]</f>
        <v>168.03</v>
      </c>
      <c r="J7081" s="27">
        <f>Tabela1[[#This Row],[MARGEM BRUTA]]/Tabela1[[#This Row],[Valor total]]</f>
        <v>0.61578773775057716</v>
      </c>
      <c r="K7081" s="26" t="str">
        <f>VLOOKUP(Tabela1[[#This Row],[Cliente]],'BASE DE CLIENTES'!A:D,4,0)</f>
        <v>OUTROS RAMOS</v>
      </c>
      <c r="L7081" s="26" t="str">
        <f>VLOOKUP(Tabela1[[#This Row],[Cliente]],'BASE DE CLIENTES'!A:E,5,0)</f>
        <v>MERCADO LIVRE</v>
      </c>
    </row>
    <row r="7082" spans="2:12" x14ac:dyDescent="0.3">
      <c r="B7082" t="s">
        <v>25</v>
      </c>
      <c r="C7082" s="26" t="str">
        <f>VLOOKUP(Tabela1[[#This Row],[Cliente]],'BASE DE CLIENTES'!A:E,2,0)</f>
        <v>Brasília</v>
      </c>
      <c r="D7082" s="26" t="str">
        <f>VLOOKUP(Tabela1[[#This Row],[Cliente]],'BASE DE CLIENTES'!A:C,3,0)</f>
        <v>DF</v>
      </c>
      <c r="E7082" s="26" t="str">
        <f>CONCATENATE(Tabela1[[#This Row],[CIDADE]],",",Tabela1[[#This Row],[UF]])</f>
        <v>Brasília,DF</v>
      </c>
      <c r="F7082" s="12">
        <v>46205</v>
      </c>
      <c r="G7082" s="14">
        <v>724.43</v>
      </c>
      <c r="H7082" s="13">
        <v>1170</v>
      </c>
      <c r="I7082" s="7">
        <f>Tabela1[[#This Row],[Valor total]]-Tabela1[[#This Row],[Valor custo]]</f>
        <v>445.57000000000005</v>
      </c>
      <c r="J7082" s="27">
        <f>Tabela1[[#This Row],[MARGEM BRUTA]]/Tabela1[[#This Row],[Valor total]]</f>
        <v>0.38082905982905985</v>
      </c>
      <c r="K7082" s="26" t="str">
        <f>VLOOKUP(Tabela1[[#This Row],[Cliente]],'BASE DE CLIENTES'!A:D,4,0)</f>
        <v>EMPRESA COM MAQUINA</v>
      </c>
      <c r="L7082" s="26" t="str">
        <f>VLOOKUP(Tabela1[[#This Row],[Cliente]],'BASE DE CLIENTES'!A:E,5,0)</f>
        <v>CEILANDIA NORTE (CEILANDIA)</v>
      </c>
    </row>
    <row r="7083" spans="2:12" x14ac:dyDescent="0.3">
      <c r="B7083" t="s">
        <v>23</v>
      </c>
      <c r="C7083" s="26" t="str">
        <f>VLOOKUP(Tabela1[[#This Row],[Cliente]],'BASE DE CLIENTES'!A:E,2,0)</f>
        <v>Brasília</v>
      </c>
      <c r="D7083" s="26" t="str">
        <f>VLOOKUP(Tabela1[[#This Row],[Cliente]],'BASE DE CLIENTES'!A:C,3,0)</f>
        <v>DF</v>
      </c>
      <c r="E7083" s="26" t="str">
        <f>CONCATENATE(Tabela1[[#This Row],[CIDADE]],",",Tabela1[[#This Row],[UF]])</f>
        <v>Brasília,DF</v>
      </c>
      <c r="F7083" s="12">
        <v>46205</v>
      </c>
      <c r="G7083" s="14">
        <v>27.63</v>
      </c>
      <c r="H7083" s="13">
        <v>33</v>
      </c>
      <c r="I7083" s="7">
        <f>Tabela1[[#This Row],[Valor total]]-Tabela1[[#This Row],[Valor custo]]</f>
        <v>5.370000000000001</v>
      </c>
      <c r="J7083" s="27">
        <f>Tabela1[[#This Row],[MARGEM BRUTA]]/Tabela1[[#This Row],[Valor total]]</f>
        <v>0.16272727272727275</v>
      </c>
      <c r="K7083" s="26" t="str">
        <f>VLOOKUP(Tabela1[[#This Row],[Cliente]],'BASE DE CLIENTES'!A:D,4,0)</f>
        <v>EMPRESA SEM MAQUINA</v>
      </c>
      <c r="L7083" s="26" t="str">
        <f>VLOOKUP(Tabela1[[#This Row],[Cliente]],'BASE DE CLIENTES'!A:E,5,0)</f>
        <v>SETOR INDUSTRIAL (TAGUATINGA)</v>
      </c>
    </row>
    <row r="7084" spans="2:12" x14ac:dyDescent="0.3">
      <c r="B7084" t="s">
        <v>23</v>
      </c>
      <c r="C7084" s="26" t="str">
        <f>VLOOKUP(Tabela1[[#This Row],[Cliente]],'BASE DE CLIENTES'!A:E,2,0)</f>
        <v>Brasília</v>
      </c>
      <c r="D7084" s="26" t="str">
        <f>VLOOKUP(Tabela1[[#This Row],[Cliente]],'BASE DE CLIENTES'!A:C,3,0)</f>
        <v>DF</v>
      </c>
      <c r="E7084" s="26" t="str">
        <f>CONCATENATE(Tabela1[[#This Row],[CIDADE]],",",Tabela1[[#This Row],[UF]])</f>
        <v>Brasília,DF</v>
      </c>
      <c r="F7084" s="12">
        <v>46205</v>
      </c>
      <c r="G7084" s="14">
        <v>1095.5999999999999</v>
      </c>
      <c r="H7084" s="13">
        <v>1750</v>
      </c>
      <c r="I7084" s="7">
        <f>Tabela1[[#This Row],[Valor total]]-Tabela1[[#This Row],[Valor custo]]</f>
        <v>654.40000000000009</v>
      </c>
      <c r="J7084" s="27">
        <f>Tabela1[[#This Row],[MARGEM BRUTA]]/Tabela1[[#This Row],[Valor total]]</f>
        <v>0.37394285714285719</v>
      </c>
      <c r="K7084" s="26" t="str">
        <f>VLOOKUP(Tabela1[[#This Row],[Cliente]],'BASE DE CLIENTES'!A:D,4,0)</f>
        <v>EMPRESA SEM MAQUINA</v>
      </c>
      <c r="L7084" s="26" t="str">
        <f>VLOOKUP(Tabela1[[#This Row],[Cliente]],'BASE DE CLIENTES'!A:E,5,0)</f>
        <v>SETOR INDUSTRIAL (TAGUATINGA)</v>
      </c>
    </row>
    <row r="7085" spans="2:12" x14ac:dyDescent="0.3">
      <c r="B7085" t="s">
        <v>206</v>
      </c>
      <c r="C7085" s="26" t="str">
        <f>VLOOKUP(Tabela1[[#This Row],[Cliente]],'BASE DE CLIENTES'!A:E,2,0)</f>
        <v>Goiânia</v>
      </c>
      <c r="D7085" s="26" t="str">
        <f>VLOOKUP(Tabela1[[#This Row],[Cliente]],'BASE DE CLIENTES'!A:C,3,0)</f>
        <v>GO</v>
      </c>
      <c r="E7085" s="26" t="str">
        <f>CONCATENATE(Tabela1[[#This Row],[CIDADE]],",",Tabela1[[#This Row],[UF]])</f>
        <v>Goiânia,GO</v>
      </c>
      <c r="F7085" s="12">
        <v>46205</v>
      </c>
      <c r="G7085" s="14">
        <v>7546.71</v>
      </c>
      <c r="H7085" s="13">
        <v>11190</v>
      </c>
      <c r="I7085" s="7">
        <f>Tabela1[[#This Row],[Valor total]]-Tabela1[[#This Row],[Valor custo]]</f>
        <v>3643.29</v>
      </c>
      <c r="J7085" s="27">
        <f>Tabela1[[#This Row],[MARGEM BRUTA]]/Tabela1[[#This Row],[Valor total]]</f>
        <v>0.32558445040214479</v>
      </c>
      <c r="K7085" s="26" t="str">
        <f>VLOOKUP(Tabela1[[#This Row],[Cliente]],'BASE DE CLIENTES'!A:D,4,0)</f>
        <v>EMPRESA COM MAQUINA</v>
      </c>
      <c r="L7085" s="26" t="str">
        <f>VLOOKUP(Tabela1[[#This Row],[Cliente]],'BASE DE CLIENTES'!A:E,5,0)</f>
        <v>Goiânia</v>
      </c>
    </row>
    <row r="7086" spans="2:12" x14ac:dyDescent="0.3">
      <c r="B7086" t="s">
        <v>27</v>
      </c>
      <c r="C7086" s="26" t="str">
        <f>VLOOKUP(Tabela1[[#This Row],[Cliente]],'BASE DE CLIENTES'!A:E,2,0)</f>
        <v>Brasília</v>
      </c>
      <c r="D7086" s="26" t="str">
        <f>VLOOKUP(Tabela1[[#This Row],[Cliente]],'BASE DE CLIENTES'!A:C,3,0)</f>
        <v>DF</v>
      </c>
      <c r="E7086" s="26" t="str">
        <f>CONCATENATE(Tabela1[[#This Row],[CIDADE]],",",Tabela1[[#This Row],[UF]])</f>
        <v>Brasília,DF</v>
      </c>
      <c r="F7086" s="12">
        <v>46205</v>
      </c>
      <c r="G7086" s="14">
        <v>1959</v>
      </c>
      <c r="H7086" s="13">
        <v>3115</v>
      </c>
      <c r="I7086" s="7">
        <f>Tabela1[[#This Row],[Valor total]]-Tabela1[[#This Row],[Valor custo]]</f>
        <v>1156</v>
      </c>
      <c r="J7086" s="27">
        <f>Tabela1[[#This Row],[MARGEM BRUTA]]/Tabela1[[#This Row],[Valor total]]</f>
        <v>0.37110754414125202</v>
      </c>
      <c r="K7086" s="26" t="str">
        <f>VLOOKUP(Tabela1[[#This Row],[Cliente]],'BASE DE CLIENTES'!A:D,4,0)</f>
        <v>EMPRESA SEM MAQUINA</v>
      </c>
      <c r="L7086" s="26" t="str">
        <f>VLOOKUP(Tabela1[[#This Row],[Cliente]],'BASE DE CLIENTES'!A:E,5,0)</f>
        <v>RECANTO DAS EMAS</v>
      </c>
    </row>
    <row r="7087" spans="2:12" x14ac:dyDescent="0.3">
      <c r="B7087" t="s">
        <v>1223</v>
      </c>
      <c r="C7087" s="26" t="str">
        <f>VLOOKUP(Tabela1[[#This Row],[Cliente]],'BASE DE CLIENTES'!A:E,2,0)</f>
        <v>MERCADO LIVRE</v>
      </c>
      <c r="D7087" s="26" t="str">
        <f>VLOOKUP(Tabela1[[#This Row],[Cliente]],'BASE DE CLIENTES'!A:C,3,0)</f>
        <v>MERCADO LIVRE</v>
      </c>
      <c r="E7087" s="26" t="str">
        <f>CONCATENATE(Tabela1[[#This Row],[CIDADE]],",",Tabela1[[#This Row],[UF]])</f>
        <v>MERCADO LIVRE,MERCADO LIVRE</v>
      </c>
      <c r="F7087" s="12">
        <v>46205</v>
      </c>
      <c r="G7087" s="14">
        <v>56.28</v>
      </c>
      <c r="H7087" s="13">
        <v>198.93</v>
      </c>
      <c r="I7087" s="7">
        <f>Tabela1[[#This Row],[Valor total]]-Tabela1[[#This Row],[Valor custo]]</f>
        <v>142.65</v>
      </c>
      <c r="J7087" s="27">
        <f>Tabela1[[#This Row],[MARGEM BRUTA]]/Tabela1[[#This Row],[Valor total]]</f>
        <v>0.71708641230583625</v>
      </c>
      <c r="K7087" s="26" t="str">
        <f>VLOOKUP(Tabela1[[#This Row],[Cliente]],'BASE DE CLIENTES'!A:D,4,0)</f>
        <v>OUTROS RAMOS</v>
      </c>
      <c r="L7087" s="26" t="str">
        <f>VLOOKUP(Tabela1[[#This Row],[Cliente]],'BASE DE CLIENTES'!A:E,5,0)</f>
        <v>MERCADO LIVRE</v>
      </c>
    </row>
    <row r="7088" spans="2:12" x14ac:dyDescent="0.3">
      <c r="B7088" t="s">
        <v>1202</v>
      </c>
      <c r="C7088" s="26" t="str">
        <f>VLOOKUP(Tabela1[[#This Row],[Cliente]],'BASE DE CLIENTES'!A:E,2,0)</f>
        <v>Brasília</v>
      </c>
      <c r="D7088" s="26" t="str">
        <f>VLOOKUP(Tabela1[[#This Row],[Cliente]],'BASE DE CLIENTES'!A:C,3,0)</f>
        <v>DF</v>
      </c>
      <c r="E7088" s="26" t="str">
        <f>CONCATENATE(Tabela1[[#This Row],[CIDADE]],",",Tabela1[[#This Row],[UF]])</f>
        <v>Brasília,DF</v>
      </c>
      <c r="F7088" s="12">
        <v>46204</v>
      </c>
      <c r="G7088" s="14">
        <v>380</v>
      </c>
      <c r="H7088" s="13">
        <v>645</v>
      </c>
      <c r="I7088" s="7">
        <f>Tabela1[[#This Row],[Valor total]]-Tabela1[[#This Row],[Valor custo]]</f>
        <v>265</v>
      </c>
      <c r="J7088" s="27">
        <f>Tabela1[[#This Row],[MARGEM BRUTA]]/Tabela1[[#This Row],[Valor total]]</f>
        <v>0.41085271317829458</v>
      </c>
      <c r="K7088" s="26" t="str">
        <f>VLOOKUP(Tabela1[[#This Row],[Cliente]],'BASE DE CLIENTES'!A:D,4,0)</f>
        <v>CLIENTE NOVO S/ IDENT.</v>
      </c>
      <c r="L7088" s="26" t="str">
        <f>VLOOKUP(Tabela1[[#This Row],[Cliente]],'BASE DE CLIENTES'!A:E,5,0)</f>
        <v>TAGUATINGA</v>
      </c>
    </row>
    <row r="7089" spans="2:12" x14ac:dyDescent="0.3">
      <c r="B7089" t="s">
        <v>1223</v>
      </c>
      <c r="C7089" s="26" t="str">
        <f>VLOOKUP(Tabela1[[#This Row],[Cliente]],'BASE DE CLIENTES'!A:E,2,0)</f>
        <v>MERCADO LIVRE</v>
      </c>
      <c r="D7089" s="26" t="str">
        <f>VLOOKUP(Tabela1[[#This Row],[Cliente]],'BASE DE CLIENTES'!A:C,3,0)</f>
        <v>MERCADO LIVRE</v>
      </c>
      <c r="E7089" s="26" t="str">
        <f>CONCATENATE(Tabela1[[#This Row],[CIDADE]],",",Tabela1[[#This Row],[UF]])</f>
        <v>MERCADO LIVRE,MERCADO LIVRE</v>
      </c>
      <c r="F7089" s="12">
        <v>46204</v>
      </c>
      <c r="G7089" s="14">
        <v>56.28</v>
      </c>
      <c r="H7089" s="13">
        <v>198.93</v>
      </c>
      <c r="I7089" s="7">
        <f>Tabela1[[#This Row],[Valor total]]-Tabela1[[#This Row],[Valor custo]]</f>
        <v>142.65</v>
      </c>
      <c r="J7089" s="27">
        <f>Tabela1[[#This Row],[MARGEM BRUTA]]/Tabela1[[#This Row],[Valor total]]</f>
        <v>0.71708641230583625</v>
      </c>
      <c r="K7089" s="26" t="str">
        <f>VLOOKUP(Tabela1[[#This Row],[Cliente]],'BASE DE CLIENTES'!A:D,4,0)</f>
        <v>OUTROS RAMOS</v>
      </c>
      <c r="L7089" s="26" t="str">
        <f>VLOOKUP(Tabela1[[#This Row],[Cliente]],'BASE DE CLIENTES'!A:E,5,0)</f>
        <v>MERCADO LIVRE</v>
      </c>
    </row>
    <row r="7090" spans="2:12" x14ac:dyDescent="0.3">
      <c r="B7090" t="s">
        <v>34</v>
      </c>
      <c r="C7090" s="26" t="str">
        <f>VLOOKUP(Tabela1[[#This Row],[Cliente]],'BASE DE CLIENTES'!A:E,2,0)</f>
        <v>Brasília</v>
      </c>
      <c r="D7090" s="26" t="str">
        <f>VLOOKUP(Tabela1[[#This Row],[Cliente]],'BASE DE CLIENTES'!A:C,3,0)</f>
        <v>DF</v>
      </c>
      <c r="E7090" s="26" t="str">
        <f>CONCATENATE(Tabela1[[#This Row],[CIDADE]],",",Tabela1[[#This Row],[UF]])</f>
        <v>Brasília,DF</v>
      </c>
      <c r="F7090" s="12">
        <v>46204</v>
      </c>
      <c r="G7090" s="14">
        <v>283.08</v>
      </c>
      <c r="H7090" s="13">
        <v>360</v>
      </c>
      <c r="I7090" s="7">
        <f>Tabela1[[#This Row],[Valor total]]-Tabela1[[#This Row],[Valor custo]]</f>
        <v>76.920000000000016</v>
      </c>
      <c r="J7090" s="27">
        <f>Tabela1[[#This Row],[MARGEM BRUTA]]/Tabela1[[#This Row],[Valor total]]</f>
        <v>0.2136666666666667</v>
      </c>
      <c r="K7090" s="26" t="str">
        <f>VLOOKUP(Tabela1[[#This Row],[Cliente]],'BASE DE CLIENTES'!A:D,4,0)</f>
        <v>SERRALHEIRO</v>
      </c>
      <c r="L7090" s="26" t="str">
        <f>VLOOKUP(Tabela1[[#This Row],[Cliente]],'BASE DE CLIENTES'!A:E,5,0)</f>
        <v>RECANTO DAS EMAS</v>
      </c>
    </row>
    <row r="7091" spans="2:12" x14ac:dyDescent="0.3">
      <c r="B7091" t="s">
        <v>38</v>
      </c>
      <c r="C7091" s="26" t="str">
        <f>VLOOKUP(Tabela1[[#This Row],[Cliente]],'BASE DE CLIENTES'!A:E,2,0)</f>
        <v>Brasília</v>
      </c>
      <c r="D7091" s="26" t="str">
        <f>VLOOKUP(Tabela1[[#This Row],[Cliente]],'BASE DE CLIENTES'!A:C,3,0)</f>
        <v>DF</v>
      </c>
      <c r="E7091" s="26" t="str">
        <f>CONCATENATE(Tabela1[[#This Row],[CIDADE]],",",Tabela1[[#This Row],[UF]])</f>
        <v>Brasília,DF</v>
      </c>
      <c r="F7091" s="12">
        <v>46204</v>
      </c>
      <c r="G7091" s="14">
        <v>90.06</v>
      </c>
      <c r="H7091" s="13">
        <v>170</v>
      </c>
      <c r="I7091" s="7">
        <f>Tabela1[[#This Row],[Valor total]]-Tabela1[[#This Row],[Valor custo]]</f>
        <v>79.94</v>
      </c>
      <c r="J7091" s="27">
        <f>Tabela1[[#This Row],[MARGEM BRUTA]]/Tabela1[[#This Row],[Valor total]]</f>
        <v>0.47023529411764703</v>
      </c>
      <c r="K7091" s="26" t="str">
        <f>VLOOKUP(Tabela1[[#This Row],[Cliente]],'BASE DE CLIENTES'!A:D,4,0)</f>
        <v>EMPRESA SEM MAQUINA</v>
      </c>
      <c r="L7091" s="26" t="str">
        <f>VLOOKUP(Tabela1[[#This Row],[Cliente]],'BASE DE CLIENTES'!A:E,5,0)</f>
        <v>PONTE ALTA NORTE (GAMA)</v>
      </c>
    </row>
    <row r="7092" spans="2:12" x14ac:dyDescent="0.3">
      <c r="B7092" t="s">
        <v>161</v>
      </c>
      <c r="C7092" s="26" t="str">
        <f>VLOOKUP(Tabela1[[#This Row],[Cliente]],'BASE DE CLIENTES'!A:E,2,0)</f>
        <v>Brasília</v>
      </c>
      <c r="D7092" s="26" t="str">
        <f>VLOOKUP(Tabela1[[#This Row],[Cliente]],'BASE DE CLIENTES'!A:C,3,0)</f>
        <v>DF</v>
      </c>
      <c r="E7092" s="26" t="str">
        <f>CONCATENATE(Tabela1[[#This Row],[CIDADE]],",",Tabela1[[#This Row],[UF]])</f>
        <v>Brasília,DF</v>
      </c>
      <c r="F7092" s="12">
        <v>46204</v>
      </c>
      <c r="G7092" s="14">
        <v>21288.7</v>
      </c>
      <c r="H7092" s="13">
        <v>32450</v>
      </c>
      <c r="I7092" s="7">
        <f>Tabela1[[#This Row],[Valor total]]-Tabela1[[#This Row],[Valor custo]]</f>
        <v>11161.3</v>
      </c>
      <c r="J7092" s="27">
        <f>Tabela1[[#This Row],[MARGEM BRUTA]]/Tabela1[[#This Row],[Valor total]]</f>
        <v>0.34395377503852076</v>
      </c>
      <c r="K7092" s="26" t="str">
        <f>VLOOKUP(Tabela1[[#This Row],[Cliente]],'BASE DE CLIENTES'!A:D,4,0)</f>
        <v>EMPRESA COM MAQUINA</v>
      </c>
      <c r="L7092" s="26" t="str">
        <f>VLOOKUP(Tabela1[[#This Row],[Cliente]],'BASE DE CLIENTES'!A:E,5,0)</f>
        <v>RIACHO FUNDO II</v>
      </c>
    </row>
    <row r="7093" spans="2:12" x14ac:dyDescent="0.3">
      <c r="B7093" t="s">
        <v>19</v>
      </c>
      <c r="C7093" s="26" t="str">
        <f>VLOOKUP(Tabela1[[#This Row],[Cliente]],'BASE DE CLIENTES'!A:E,2,0)</f>
        <v>Águas Lindas de Goiás</v>
      </c>
      <c r="D7093" s="26" t="str">
        <f>VLOOKUP(Tabela1[[#This Row],[Cliente]],'BASE DE CLIENTES'!A:C,3,0)</f>
        <v>GO</v>
      </c>
      <c r="E7093" s="26" t="str">
        <f>CONCATENATE(Tabela1[[#This Row],[CIDADE]],",",Tabela1[[#This Row],[UF]])</f>
        <v>Águas Lindas de Goiás,GO</v>
      </c>
      <c r="F7093" s="12">
        <v>46204</v>
      </c>
      <c r="G7093" s="14">
        <v>1340</v>
      </c>
      <c r="H7093" s="13">
        <v>2400</v>
      </c>
      <c r="I7093" s="7">
        <f>Tabela1[[#This Row],[Valor total]]-Tabela1[[#This Row],[Valor custo]]</f>
        <v>1060</v>
      </c>
      <c r="J7093" s="27">
        <f>Tabela1[[#This Row],[MARGEM BRUTA]]/Tabela1[[#This Row],[Valor total]]</f>
        <v>0.44166666666666665</v>
      </c>
      <c r="K7093" s="26" t="str">
        <f>VLOOKUP(Tabela1[[#This Row],[Cliente]],'BASE DE CLIENTES'!A:D,4,0)</f>
        <v>SERRALHEIRO</v>
      </c>
      <c r="L7093" s="26" t="str">
        <f>VLOOKUP(Tabela1[[#This Row],[Cliente]],'BASE DE CLIENTES'!A:E,5,0)</f>
        <v>Águas Lindas de Goiás</v>
      </c>
    </row>
    <row r="7094" spans="2:12" x14ac:dyDescent="0.3">
      <c r="B7094" t="s">
        <v>23</v>
      </c>
      <c r="C7094" s="26" t="str">
        <f>VLOOKUP(Tabela1[[#This Row],[Cliente]],'BASE DE CLIENTES'!A:E,2,0)</f>
        <v>Brasília</v>
      </c>
      <c r="D7094" s="26" t="str">
        <f>VLOOKUP(Tabela1[[#This Row],[Cliente]],'BASE DE CLIENTES'!A:C,3,0)</f>
        <v>DF</v>
      </c>
      <c r="E7094" s="26" t="str">
        <f>CONCATENATE(Tabela1[[#This Row],[CIDADE]],",",Tabela1[[#This Row],[UF]])</f>
        <v>Brasília,DF</v>
      </c>
      <c r="F7094" s="12">
        <v>46204</v>
      </c>
      <c r="G7094" s="14">
        <v>760</v>
      </c>
      <c r="H7094" s="13">
        <v>1100</v>
      </c>
      <c r="I7094" s="7">
        <f>Tabela1[[#This Row],[Valor total]]-Tabela1[[#This Row],[Valor custo]]</f>
        <v>340</v>
      </c>
      <c r="J7094" s="27">
        <f>Tabela1[[#This Row],[MARGEM BRUTA]]/Tabela1[[#This Row],[Valor total]]</f>
        <v>0.30909090909090908</v>
      </c>
      <c r="K7094" s="26" t="str">
        <f>VLOOKUP(Tabela1[[#This Row],[Cliente]],'BASE DE CLIENTES'!A:D,4,0)</f>
        <v>EMPRESA SEM MAQUINA</v>
      </c>
      <c r="L7094" s="26" t="str">
        <f>VLOOKUP(Tabela1[[#This Row],[Cliente]],'BASE DE CLIENTES'!A:E,5,0)</f>
        <v>SETOR INDUSTRIAL (TAGUATINGA)</v>
      </c>
    </row>
    <row r="7095" spans="2:12" x14ac:dyDescent="0.3">
      <c r="B7095" t="s">
        <v>92</v>
      </c>
      <c r="C7095" s="26" t="str">
        <f>VLOOKUP(Tabela1[[#This Row],[Cliente]],'BASE DE CLIENTES'!A:E,2,0)</f>
        <v>Brasília</v>
      </c>
      <c r="D7095" s="26" t="str">
        <f>VLOOKUP(Tabela1[[#This Row],[Cliente]],'BASE DE CLIENTES'!A:C,3,0)</f>
        <v>DF</v>
      </c>
      <c r="E7095" s="26" t="str">
        <f>CONCATENATE(Tabela1[[#This Row],[CIDADE]],",",Tabela1[[#This Row],[UF]])</f>
        <v>Brasília,DF</v>
      </c>
      <c r="F7095" s="12">
        <v>46204</v>
      </c>
      <c r="G7095" s="14">
        <v>1352.36</v>
      </c>
      <c r="H7095" s="13">
        <v>2235</v>
      </c>
      <c r="I7095" s="7">
        <f>Tabela1[[#This Row],[Valor total]]-Tabela1[[#This Row],[Valor custo]]</f>
        <v>882.6400000000001</v>
      </c>
      <c r="J7095" s="27">
        <f>Tabela1[[#This Row],[MARGEM BRUTA]]/Tabela1[[#This Row],[Valor total]]</f>
        <v>0.39491722595078305</v>
      </c>
      <c r="K7095" s="26" t="str">
        <f>VLOOKUP(Tabela1[[#This Row],[Cliente]],'BASE DE CLIENTES'!A:D,4,0)</f>
        <v>EMPRESA SEM MAQUINA</v>
      </c>
      <c r="L7095" s="26" t="str">
        <f>VLOOKUP(Tabela1[[#This Row],[Cliente]],'BASE DE CLIENTES'!A:E,5,0)</f>
        <v>SOBRADINHO</v>
      </c>
    </row>
    <row r="7096" spans="2:12" x14ac:dyDescent="0.3">
      <c r="B7096" t="s">
        <v>1223</v>
      </c>
      <c r="C7096" s="26" t="str">
        <f>VLOOKUP(Tabela1[[#This Row],[Cliente]],'BASE DE CLIENTES'!A:E,2,0)</f>
        <v>MERCADO LIVRE</v>
      </c>
      <c r="D7096" s="26" t="str">
        <f>VLOOKUP(Tabela1[[#This Row],[Cliente]],'BASE DE CLIENTES'!A:C,3,0)</f>
        <v>MERCADO LIVRE</v>
      </c>
      <c r="E7096" s="26" t="str">
        <f>CONCATENATE(Tabela1[[#This Row],[CIDADE]],",",Tabela1[[#This Row],[UF]])</f>
        <v>MERCADO LIVRE,MERCADO LIVRE</v>
      </c>
      <c r="F7096" s="12">
        <v>46204</v>
      </c>
      <c r="G7096" s="14">
        <v>71.260000000000005</v>
      </c>
      <c r="H7096" s="13">
        <v>219.87</v>
      </c>
      <c r="I7096" s="7">
        <f>Tabela1[[#This Row],[Valor total]]-Tabela1[[#This Row],[Valor custo]]</f>
        <v>148.61000000000001</v>
      </c>
      <c r="J7096" s="27">
        <f>Tabela1[[#This Row],[MARGEM BRUTA]]/Tabela1[[#This Row],[Valor total]]</f>
        <v>0.67589939509710284</v>
      </c>
      <c r="K7096" s="26" t="str">
        <f>VLOOKUP(Tabela1[[#This Row],[Cliente]],'BASE DE CLIENTES'!A:D,4,0)</f>
        <v>OUTROS RAMOS</v>
      </c>
      <c r="L7096" s="26" t="str">
        <f>VLOOKUP(Tabela1[[#This Row],[Cliente]],'BASE DE CLIENTES'!A:E,5,0)</f>
        <v>MERCADO LIVRE</v>
      </c>
    </row>
    <row r="7097" spans="2:12" x14ac:dyDescent="0.3">
      <c r="B7097" t="s">
        <v>253</v>
      </c>
      <c r="C7097" s="26" t="str">
        <f>VLOOKUP(Tabela1[[#This Row],[Cliente]],'BASE DE CLIENTES'!A:E,2,0)</f>
        <v>Luziânia</v>
      </c>
      <c r="D7097" s="26" t="str">
        <f>VLOOKUP(Tabela1[[#This Row],[Cliente]],'BASE DE CLIENTES'!A:C,3,0)</f>
        <v>GO</v>
      </c>
      <c r="E7097" s="26" t="str">
        <f>CONCATENATE(Tabela1[[#This Row],[CIDADE]],",",Tabela1[[#This Row],[UF]])</f>
        <v>Luziânia,GO</v>
      </c>
      <c r="F7097" s="12">
        <v>46204</v>
      </c>
      <c r="G7097" s="14">
        <v>50</v>
      </c>
      <c r="H7097" s="13">
        <v>60</v>
      </c>
      <c r="I7097" s="7">
        <f>Tabela1[[#This Row],[Valor total]]-Tabela1[[#This Row],[Valor custo]]</f>
        <v>10</v>
      </c>
      <c r="J7097" s="27">
        <f>Tabela1[[#This Row],[MARGEM BRUTA]]/Tabela1[[#This Row],[Valor total]]</f>
        <v>0.16666666666666666</v>
      </c>
      <c r="K7097" s="26" t="str">
        <f>VLOOKUP(Tabela1[[#This Row],[Cliente]],'BASE DE CLIENTES'!A:D,4,0)</f>
        <v>EMPRESA COM MAQUINA</v>
      </c>
      <c r="L7097" s="26" t="str">
        <f>VLOOKUP(Tabela1[[#This Row],[Cliente]],'BASE DE CLIENTES'!A:E,5,0)</f>
        <v>Luziânia</v>
      </c>
    </row>
    <row r="7098" spans="2:12" x14ac:dyDescent="0.3">
      <c r="B7098" t="s">
        <v>1223</v>
      </c>
      <c r="C7098" s="26" t="str">
        <f>VLOOKUP(Tabela1[[#This Row],[Cliente]],'BASE DE CLIENTES'!A:E,2,0)</f>
        <v>MERCADO LIVRE</v>
      </c>
      <c r="D7098" s="26" t="str">
        <f>VLOOKUP(Tabela1[[#This Row],[Cliente]],'BASE DE CLIENTES'!A:C,3,0)</f>
        <v>MERCADO LIVRE</v>
      </c>
      <c r="E7098" s="26" t="str">
        <f>CONCATENATE(Tabela1[[#This Row],[CIDADE]],",",Tabela1[[#This Row],[UF]])</f>
        <v>MERCADO LIVRE,MERCADO LIVRE</v>
      </c>
      <c r="F7098" s="12">
        <v>46204</v>
      </c>
      <c r="G7098" s="14">
        <v>1000</v>
      </c>
      <c r="H7098" s="13">
        <v>1781.51</v>
      </c>
      <c r="I7098" s="7">
        <f>Tabela1[[#This Row],[Valor total]]-Tabela1[[#This Row],[Valor custo]]</f>
        <v>781.51</v>
      </c>
      <c r="J7098" s="27">
        <f>Tabela1[[#This Row],[MARGEM BRUTA]]/Tabela1[[#This Row],[Valor total]]</f>
        <v>0.43867842448260186</v>
      </c>
      <c r="K7098" s="26" t="str">
        <f>VLOOKUP(Tabela1[[#This Row],[Cliente]],'BASE DE CLIENTES'!A:D,4,0)</f>
        <v>OUTROS RAMOS</v>
      </c>
      <c r="L7098" s="26" t="str">
        <f>VLOOKUP(Tabela1[[#This Row],[Cliente]],'BASE DE CLIENTES'!A:E,5,0)</f>
        <v>MERCADO LIVRE</v>
      </c>
    </row>
    <row r="7099" spans="2:12" x14ac:dyDescent="0.3">
      <c r="B7099" t="s">
        <v>85</v>
      </c>
      <c r="C7099" s="26" t="str">
        <f>VLOOKUP(Tabela1[[#This Row],[Cliente]],'BASE DE CLIENTES'!A:E,2,0)</f>
        <v>Brasília</v>
      </c>
      <c r="D7099" s="26" t="str">
        <f>VLOOKUP(Tabela1[[#This Row],[Cliente]],'BASE DE CLIENTES'!A:C,3,0)</f>
        <v>DF</v>
      </c>
      <c r="E7099" s="26" t="str">
        <f>CONCATENATE(Tabela1[[#This Row],[CIDADE]],",",Tabela1[[#This Row],[UF]])</f>
        <v>Brasília,DF</v>
      </c>
      <c r="F7099" s="12">
        <v>46204</v>
      </c>
      <c r="G7099" s="14">
        <v>42</v>
      </c>
      <c r="H7099" s="13">
        <v>110</v>
      </c>
      <c r="I7099" s="7">
        <f>Tabela1[[#This Row],[Valor total]]-Tabela1[[#This Row],[Valor custo]]</f>
        <v>68</v>
      </c>
      <c r="J7099" s="27">
        <f>Tabela1[[#This Row],[MARGEM BRUTA]]/Tabela1[[#This Row],[Valor total]]</f>
        <v>0.61818181818181817</v>
      </c>
      <c r="K7099" s="26" t="str">
        <f>VLOOKUP(Tabela1[[#This Row],[Cliente]],'BASE DE CLIENTES'!A:D,4,0)</f>
        <v>SERRALHEIRO</v>
      </c>
      <c r="L7099" s="26" t="str">
        <f>VLOOKUP(Tabela1[[#This Row],[Cliente]],'BASE DE CLIENTES'!A:E,5,0)</f>
        <v>SAMAMBAIA NORTE (SAMAMBAIA)</v>
      </c>
    </row>
    <row r="7100" spans="2:12" x14ac:dyDescent="0.3">
      <c r="B7100" t="s">
        <v>15</v>
      </c>
      <c r="C7100" s="26" t="str">
        <f>VLOOKUP(Tabela1[[#This Row],[Cliente]],'BASE DE CLIENTES'!A:E,2,0)</f>
        <v>Brasília</v>
      </c>
      <c r="D7100" s="26" t="str">
        <f>VLOOKUP(Tabela1[[#This Row],[Cliente]],'BASE DE CLIENTES'!A:C,3,0)</f>
        <v>DF</v>
      </c>
      <c r="E7100" s="26" t="str">
        <f>CONCATENATE(Tabela1[[#This Row],[CIDADE]],",",Tabela1[[#This Row],[UF]])</f>
        <v>Brasília,DF</v>
      </c>
      <c r="F7100" s="12">
        <v>46204</v>
      </c>
      <c r="G7100" s="14">
        <v>700</v>
      </c>
      <c r="H7100" s="13">
        <v>1350</v>
      </c>
      <c r="I7100" s="7">
        <f>Tabela1[[#This Row],[Valor total]]-Tabela1[[#This Row],[Valor custo]]</f>
        <v>650</v>
      </c>
      <c r="J7100" s="27">
        <f>Tabela1[[#This Row],[MARGEM BRUTA]]/Tabela1[[#This Row],[Valor total]]</f>
        <v>0.48148148148148145</v>
      </c>
      <c r="K7100" s="26" t="str">
        <f>VLOOKUP(Tabela1[[#This Row],[Cliente]],'BASE DE CLIENTES'!A:D,4,0)</f>
        <v>SERRALHEIRO</v>
      </c>
      <c r="L7100" s="26" t="str">
        <f>VLOOKUP(Tabela1[[#This Row],[Cliente]],'BASE DE CLIENTES'!A:E,5,0)</f>
        <v>SETOR HABITACIONAL VICENTE PIRES</v>
      </c>
    </row>
    <row r="7101" spans="2:12" x14ac:dyDescent="0.3">
      <c r="B7101" t="s">
        <v>297</v>
      </c>
      <c r="C7101" s="26" t="str">
        <f>VLOOKUP(Tabela1[[#This Row],[Cliente]],'BASE DE CLIENTES'!A:E,2,0)</f>
        <v>Brasília</v>
      </c>
      <c r="D7101" s="26" t="str">
        <f>VLOOKUP(Tabela1[[#This Row],[Cliente]],'BASE DE CLIENTES'!A:C,3,0)</f>
        <v>DF</v>
      </c>
      <c r="E7101" s="26" t="str">
        <f>CONCATENATE(Tabela1[[#This Row],[CIDADE]],",",Tabela1[[#This Row],[UF]])</f>
        <v>Brasília,DF</v>
      </c>
      <c r="F7101" s="12">
        <v>46204</v>
      </c>
      <c r="G7101" s="14">
        <v>24.38</v>
      </c>
      <c r="H7101" s="13">
        <v>31</v>
      </c>
      <c r="I7101" s="7">
        <f>Tabela1[[#This Row],[Valor total]]-Tabela1[[#This Row],[Valor custo]]</f>
        <v>6.620000000000001</v>
      </c>
      <c r="J7101" s="27">
        <f>Tabela1[[#This Row],[MARGEM BRUTA]]/Tabela1[[#This Row],[Valor total]]</f>
        <v>0.21354838709677423</v>
      </c>
      <c r="K7101" s="26" t="str">
        <f>VLOOKUP(Tabela1[[#This Row],[Cliente]],'BASE DE CLIENTES'!A:D,4,0)</f>
        <v>SERRALHEIRO</v>
      </c>
      <c r="L7101" s="26" t="str">
        <f>VLOOKUP(Tabela1[[#This Row],[Cliente]],'BASE DE CLIENTES'!A:E,5,0)</f>
        <v>NA</v>
      </c>
    </row>
    <row r="7102" spans="2:12" x14ac:dyDescent="0.3">
      <c r="B7102" t="s">
        <v>117</v>
      </c>
      <c r="C7102" s="26" t="str">
        <f>VLOOKUP(Tabela1[[#This Row],[Cliente]],'BASE DE CLIENTES'!A:E,2,0)</f>
        <v>Brasília</v>
      </c>
      <c r="D7102" s="26" t="str">
        <f>VLOOKUP(Tabela1[[#This Row],[Cliente]],'BASE DE CLIENTES'!A:C,3,0)</f>
        <v>DF</v>
      </c>
      <c r="E7102" s="26" t="str">
        <f>CONCATENATE(Tabela1[[#This Row],[CIDADE]],",",Tabela1[[#This Row],[UF]])</f>
        <v>Brasília,DF</v>
      </c>
      <c r="F7102" s="12">
        <v>46204</v>
      </c>
      <c r="G7102" s="14">
        <v>909.5</v>
      </c>
      <c r="H7102" s="13">
        <v>1325</v>
      </c>
      <c r="I7102" s="7">
        <f>Tabela1[[#This Row],[Valor total]]-Tabela1[[#This Row],[Valor custo]]</f>
        <v>415.5</v>
      </c>
      <c r="J7102" s="27">
        <f>Tabela1[[#This Row],[MARGEM BRUTA]]/Tabela1[[#This Row],[Valor total]]</f>
        <v>0.31358490566037733</v>
      </c>
      <c r="K7102" s="26" t="str">
        <f>VLOOKUP(Tabela1[[#This Row],[Cliente]],'BASE DE CLIENTES'!A:D,4,0)</f>
        <v>EMPRESA COM MAQUINA</v>
      </c>
      <c r="L7102" s="26" t="str">
        <f>VLOOKUP(Tabela1[[#This Row],[Cliente]],'BASE DE CLIENTES'!A:E,5,0)</f>
        <v>SETOR HABITACIONAL ARNIQUEIRA (AGUAS CLARAS)</v>
      </c>
    </row>
    <row r="7103" spans="2:12" x14ac:dyDescent="0.3">
      <c r="B7103" t="s">
        <v>66</v>
      </c>
      <c r="C7103" s="26" t="str">
        <f>VLOOKUP(Tabela1[[#This Row],[Cliente]],'BASE DE CLIENTES'!A:E,2,0)</f>
        <v>Águas Lindas de Goiás</v>
      </c>
      <c r="D7103" s="26" t="str">
        <f>VLOOKUP(Tabela1[[#This Row],[Cliente]],'BASE DE CLIENTES'!A:C,3,0)</f>
        <v>GO</v>
      </c>
      <c r="E7103" s="26" t="str">
        <f>CONCATENATE(Tabela1[[#This Row],[CIDADE]],",",Tabela1[[#This Row],[UF]])</f>
        <v>Águas Lindas de Goiás,GO</v>
      </c>
      <c r="F7103" s="12">
        <v>46204</v>
      </c>
      <c r="G7103" s="14">
        <v>380</v>
      </c>
      <c r="H7103" s="13">
        <v>615</v>
      </c>
      <c r="I7103" s="7">
        <f>Tabela1[[#This Row],[Valor total]]-Tabela1[[#This Row],[Valor custo]]</f>
        <v>235</v>
      </c>
      <c r="J7103" s="27">
        <f>Tabela1[[#This Row],[MARGEM BRUTA]]/Tabela1[[#This Row],[Valor total]]</f>
        <v>0.38211382113821141</v>
      </c>
      <c r="K7103" s="26" t="str">
        <f>VLOOKUP(Tabela1[[#This Row],[Cliente]],'BASE DE CLIENTES'!A:D,4,0)</f>
        <v>EMPRESA COM MAQUINA</v>
      </c>
      <c r="L7103" s="26" t="str">
        <f>VLOOKUP(Tabela1[[#This Row],[Cliente]],'BASE DE CLIENTES'!A:E,5,0)</f>
        <v>Águas Lindas de Goiás</v>
      </c>
    </row>
    <row r="7104" spans="2:12" x14ac:dyDescent="0.3">
      <c r="B7104" t="s">
        <v>97</v>
      </c>
      <c r="C7104" s="26" t="str">
        <f>VLOOKUP(Tabela1[[#This Row],[Cliente]],'BASE DE CLIENTES'!A:E,2,0)</f>
        <v>Brasília</v>
      </c>
      <c r="D7104" s="26" t="str">
        <f>VLOOKUP(Tabela1[[#This Row],[Cliente]],'BASE DE CLIENTES'!A:C,3,0)</f>
        <v>DF</v>
      </c>
      <c r="E7104" s="26" t="str">
        <f>CONCATENATE(Tabela1[[#This Row],[CIDADE]],",",Tabela1[[#This Row],[UF]])</f>
        <v>Brasília,DF</v>
      </c>
      <c r="F7104" s="12">
        <v>46204</v>
      </c>
      <c r="G7104" s="14">
        <v>2020</v>
      </c>
      <c r="H7104" s="13">
        <v>3700</v>
      </c>
      <c r="I7104" s="7">
        <f>Tabela1[[#This Row],[Valor total]]-Tabela1[[#This Row],[Valor custo]]</f>
        <v>1680</v>
      </c>
      <c r="J7104" s="27">
        <f>Tabela1[[#This Row],[MARGEM BRUTA]]/Tabela1[[#This Row],[Valor total]]</f>
        <v>0.45405405405405408</v>
      </c>
      <c r="K7104" s="26" t="str">
        <f>VLOOKUP(Tabela1[[#This Row],[Cliente]],'BASE DE CLIENTES'!A:D,4,0)</f>
        <v>SERRALHEIRO</v>
      </c>
      <c r="L7104" s="26" t="str">
        <f>VLOOKUP(Tabela1[[#This Row],[Cliente]],'BASE DE CLIENTES'!A:E,5,0)</f>
        <v>CEILANDIA NORTE</v>
      </c>
    </row>
    <row r="7105" spans="2:12" x14ac:dyDescent="0.3">
      <c r="B7105" t="s">
        <v>38</v>
      </c>
      <c r="C7105" s="26" t="str">
        <f>VLOOKUP(Tabela1[[#This Row],[Cliente]],'BASE DE CLIENTES'!A:E,2,0)</f>
        <v>Brasília</v>
      </c>
      <c r="D7105" s="26" t="str">
        <f>VLOOKUP(Tabela1[[#This Row],[Cliente]],'BASE DE CLIENTES'!A:C,3,0)</f>
        <v>DF</v>
      </c>
      <c r="E7105" s="26" t="str">
        <f>CONCATENATE(Tabela1[[#This Row],[CIDADE]],",",Tabela1[[#This Row],[UF]])</f>
        <v>Brasília,DF</v>
      </c>
      <c r="F7105" s="12">
        <v>46204</v>
      </c>
      <c r="G7105" s="14">
        <v>90.06</v>
      </c>
      <c r="H7105" s="13">
        <v>170</v>
      </c>
      <c r="I7105" s="7">
        <f>Tabela1[[#This Row],[Valor total]]-Tabela1[[#This Row],[Valor custo]]</f>
        <v>79.94</v>
      </c>
      <c r="J7105" s="27">
        <f>Tabela1[[#This Row],[MARGEM BRUTA]]/Tabela1[[#This Row],[Valor total]]</f>
        <v>0.47023529411764703</v>
      </c>
      <c r="K7105" s="26" t="str">
        <f>VLOOKUP(Tabela1[[#This Row],[Cliente]],'BASE DE CLIENTES'!A:D,4,0)</f>
        <v>EMPRESA SEM MAQUINA</v>
      </c>
      <c r="L7105" s="26" t="str">
        <f>VLOOKUP(Tabela1[[#This Row],[Cliente]],'BASE DE CLIENTES'!A:E,5,0)</f>
        <v>PONTE ALTA NORTE (GAMA)</v>
      </c>
    </row>
    <row r="7106" spans="2:12" x14ac:dyDescent="0.3">
      <c r="B7106" t="s">
        <v>1137</v>
      </c>
      <c r="C7106" s="26" t="str">
        <f>VLOOKUP(Tabela1[[#This Row],[Cliente]],'BASE DE CLIENTES'!A:E,2,0)</f>
        <v>Brasília</v>
      </c>
      <c r="D7106" s="26" t="str">
        <f>VLOOKUP(Tabela1[[#This Row],[Cliente]],'BASE DE CLIENTES'!A:C,3,0)</f>
        <v>DF</v>
      </c>
      <c r="E7106" s="26" t="str">
        <f>CONCATENATE(Tabela1[[#This Row],[CIDADE]],",",Tabela1[[#This Row],[UF]])</f>
        <v>Brasília,DF</v>
      </c>
      <c r="F7106" s="12">
        <v>46204</v>
      </c>
      <c r="G7106" s="14">
        <v>25</v>
      </c>
      <c r="H7106" s="13">
        <v>120</v>
      </c>
      <c r="I7106" s="7">
        <f>Tabela1[[#This Row],[Valor total]]-Tabela1[[#This Row],[Valor custo]]</f>
        <v>95</v>
      </c>
      <c r="J7106" s="27">
        <f>Tabela1[[#This Row],[MARGEM BRUTA]]/Tabela1[[#This Row],[Valor total]]</f>
        <v>0.79166666666666663</v>
      </c>
      <c r="K7106" s="26" t="str">
        <f>VLOOKUP(Tabela1[[#This Row],[Cliente]],'BASE DE CLIENTES'!A:D,4,0)</f>
        <v>CLIENTE NOVO S/ IDENT.</v>
      </c>
      <c r="L7106" s="26" t="str">
        <f>VLOOKUP(Tabela1[[#This Row],[Cliente]],'BASE DE CLIENTES'!A:E,5,0)</f>
        <v>Brasília</v>
      </c>
    </row>
    <row r="7107" spans="2:12" x14ac:dyDescent="0.3">
      <c r="B7107" t="s">
        <v>99</v>
      </c>
      <c r="C7107" s="26" t="str">
        <f>VLOOKUP(Tabela1[[#This Row],[Cliente]],'BASE DE CLIENTES'!A:E,2,0)</f>
        <v>Brasília</v>
      </c>
      <c r="D7107" s="26" t="str">
        <f>VLOOKUP(Tabela1[[#This Row],[Cliente]],'BASE DE CLIENTES'!A:C,3,0)</f>
        <v>DF</v>
      </c>
      <c r="E7107" s="26" t="str">
        <f>CONCATENATE(Tabela1[[#This Row],[CIDADE]],",",Tabela1[[#This Row],[UF]])</f>
        <v>Brasília,DF</v>
      </c>
      <c r="F7107" s="12">
        <v>46204</v>
      </c>
      <c r="G7107" s="14">
        <v>2492.75</v>
      </c>
      <c r="H7107" s="13">
        <v>4170</v>
      </c>
      <c r="I7107" s="7">
        <f>Tabela1[[#This Row],[Valor total]]-Tabela1[[#This Row],[Valor custo]]</f>
        <v>1677.25</v>
      </c>
      <c r="J7107" s="27">
        <f>Tabela1[[#This Row],[MARGEM BRUTA]]/Tabela1[[#This Row],[Valor total]]</f>
        <v>0.40221822541966429</v>
      </c>
      <c r="K7107" s="26" t="str">
        <f>VLOOKUP(Tabela1[[#This Row],[Cliente]],'BASE DE CLIENTES'!A:D,4,0)</f>
        <v>EMPRESA COM MAQUINA</v>
      </c>
      <c r="L7107" s="26" t="str">
        <f>VLOOKUP(Tabela1[[#This Row],[Cliente]],'BASE DE CLIENTES'!A:E,5,0)</f>
        <v>ARAPOANGA (PLANALTINA)</v>
      </c>
    </row>
    <row r="7108" spans="2:12" x14ac:dyDescent="0.3">
      <c r="B7108" t="s">
        <v>1221</v>
      </c>
      <c r="C7108" s="26" t="str">
        <f>VLOOKUP(Tabela1[[#This Row],[Cliente]],'BASE DE CLIENTES'!A:E,2,0)</f>
        <v>Brasília</v>
      </c>
      <c r="D7108" s="26" t="str">
        <f>VLOOKUP(Tabela1[[#This Row],[Cliente]],'BASE DE CLIENTES'!A:C,3,0)</f>
        <v>DF</v>
      </c>
      <c r="E7108" s="26" t="str">
        <f>CONCATENATE(Tabela1[[#This Row],[CIDADE]],",",Tabela1[[#This Row],[UF]])</f>
        <v>Brasília,DF</v>
      </c>
      <c r="F7108" s="12">
        <v>46224</v>
      </c>
      <c r="G7108" s="14">
        <v>760</v>
      </c>
      <c r="H7108" s="13">
        <v>1290</v>
      </c>
      <c r="I7108" s="7">
        <f>Tabela1[[#This Row],[Valor total]]-Tabela1[[#This Row],[Valor custo]]</f>
        <v>530</v>
      </c>
      <c r="J7108" s="27">
        <f>Tabela1[[#This Row],[MARGEM BRUTA]]/Tabela1[[#This Row],[Valor total]]</f>
        <v>0.41085271317829458</v>
      </c>
      <c r="K7108" s="26" t="str">
        <f>VLOOKUP(Tabela1[[#This Row],[Cliente]],'BASE DE CLIENTES'!A:D,4,0)</f>
        <v>CLIENTE NOVO S/ IDENT.</v>
      </c>
      <c r="L7108" s="26" t="str">
        <f>VLOOKUP(Tabela1[[#This Row],[Cliente]],'BASE DE CLIENTES'!A:E,5,0)</f>
        <v>SAMAMBAIA SUL</v>
      </c>
    </row>
    <row r="7109" spans="2:12" x14ac:dyDescent="0.3">
      <c r="B7109" t="s">
        <v>97</v>
      </c>
      <c r="C7109" s="26" t="str">
        <f>VLOOKUP(Tabela1[[#This Row],[Cliente]],'BASE DE CLIENTES'!A:E,2,0)</f>
        <v>Brasília</v>
      </c>
      <c r="D7109" s="26" t="str">
        <f>VLOOKUP(Tabela1[[#This Row],[Cliente]],'BASE DE CLIENTES'!A:C,3,0)</f>
        <v>DF</v>
      </c>
      <c r="E7109" s="26" t="str">
        <f>CONCATENATE(Tabela1[[#This Row],[CIDADE]],",",Tabela1[[#This Row],[UF]])</f>
        <v>Brasília,DF</v>
      </c>
      <c r="F7109" s="12">
        <v>46219</v>
      </c>
      <c r="G7109" s="14">
        <v>3067</v>
      </c>
      <c r="H7109" s="13">
        <v>5295</v>
      </c>
      <c r="I7109" s="7">
        <f>Tabela1[[#This Row],[Valor total]]-Tabela1[[#This Row],[Valor custo]]</f>
        <v>2228</v>
      </c>
      <c r="J7109" s="27">
        <f>Tabela1[[#This Row],[MARGEM BRUTA]]/Tabela1[[#This Row],[Valor total]]</f>
        <v>0.42077431539187915</v>
      </c>
      <c r="K7109" s="26" t="str">
        <f>VLOOKUP(Tabela1[[#This Row],[Cliente]],'BASE DE CLIENTES'!A:D,4,0)</f>
        <v>SERRALHEIRO</v>
      </c>
      <c r="L7109" s="26" t="str">
        <f>VLOOKUP(Tabela1[[#This Row],[Cliente]],'BASE DE CLIENTES'!A:E,5,0)</f>
        <v>CEILANDIA NORTE</v>
      </c>
    </row>
    <row r="7110" spans="2:12" x14ac:dyDescent="0.3">
      <c r="B7110" t="s">
        <v>70</v>
      </c>
      <c r="C7110" s="26" t="str">
        <f>VLOOKUP(Tabela1[[#This Row],[Cliente]],'BASE DE CLIENTES'!A:E,2,0)</f>
        <v>Brasília</v>
      </c>
      <c r="D7110" s="26" t="str">
        <f>VLOOKUP(Tabela1[[#This Row],[Cliente]],'BASE DE CLIENTES'!A:C,3,0)</f>
        <v>DF</v>
      </c>
      <c r="E7110" s="26" t="str">
        <f>CONCATENATE(Tabela1[[#This Row],[CIDADE]],",",Tabela1[[#This Row],[UF]])</f>
        <v>Brasília,DF</v>
      </c>
      <c r="F7110" s="12">
        <v>46219</v>
      </c>
      <c r="G7110" s="14">
        <v>838</v>
      </c>
      <c r="H7110" s="13">
        <v>1200</v>
      </c>
      <c r="I7110" s="7">
        <f>Tabela1[[#This Row],[Valor total]]-Tabela1[[#This Row],[Valor custo]]</f>
        <v>362</v>
      </c>
      <c r="J7110" s="27">
        <f>Tabela1[[#This Row],[MARGEM BRUTA]]/Tabela1[[#This Row],[Valor total]]</f>
        <v>0.30166666666666669</v>
      </c>
      <c r="K7110" s="26" t="str">
        <f>VLOOKUP(Tabela1[[#This Row],[Cliente]],'BASE DE CLIENTES'!A:D,4,0)</f>
        <v>EMPRESA COM MAQUINA</v>
      </c>
      <c r="L7110" s="26" t="str">
        <f>VLOOKUP(Tabela1[[#This Row],[Cliente]],'BASE DE CLIENTES'!A:E,5,0)</f>
        <v>TAGUATINGA NORTE (TAGUATINGA)</v>
      </c>
    </row>
    <row r="7111" spans="2:12" x14ac:dyDescent="0.3">
      <c r="B7111" t="s">
        <v>36</v>
      </c>
      <c r="C7111" s="26" t="str">
        <f>VLOOKUP(Tabela1[[#This Row],[Cliente]],'BASE DE CLIENTES'!A:E,2,0)</f>
        <v>Brasília</v>
      </c>
      <c r="D7111" s="26" t="str">
        <f>VLOOKUP(Tabela1[[#This Row],[Cliente]],'BASE DE CLIENTES'!A:C,3,0)</f>
        <v>DF</v>
      </c>
      <c r="E7111" s="26" t="str">
        <f>CONCATENATE(Tabela1[[#This Row],[CIDADE]],",",Tabela1[[#This Row],[UF]])</f>
        <v>Brasília,DF</v>
      </c>
      <c r="F7111" s="12">
        <v>46219</v>
      </c>
      <c r="G7111" s="14">
        <v>670</v>
      </c>
      <c r="H7111" s="13">
        <v>1200</v>
      </c>
      <c r="I7111" s="7">
        <f>Tabela1[[#This Row],[Valor total]]-Tabela1[[#This Row],[Valor custo]]</f>
        <v>530</v>
      </c>
      <c r="J7111" s="27">
        <f>Tabela1[[#This Row],[MARGEM BRUTA]]/Tabela1[[#This Row],[Valor total]]</f>
        <v>0.44166666666666665</v>
      </c>
      <c r="K7111" s="26" t="str">
        <f>VLOOKUP(Tabela1[[#This Row],[Cliente]],'BASE DE CLIENTES'!A:D,4,0)</f>
        <v>SERRALHEIRO</v>
      </c>
      <c r="L7111" s="26" t="str">
        <f>VLOOKUP(Tabela1[[#This Row],[Cliente]],'BASE DE CLIENTES'!A:E,5,0)</f>
        <v>CEILANDIA SUL (CEILANDIA)</v>
      </c>
    </row>
    <row r="7112" spans="2:12" x14ac:dyDescent="0.3">
      <c r="B7112" t="s">
        <v>36</v>
      </c>
      <c r="C7112" s="26" t="str">
        <f>VLOOKUP(Tabela1[[#This Row],[Cliente]],'BASE DE CLIENTES'!A:E,2,0)</f>
        <v>Brasília</v>
      </c>
      <c r="D7112" s="26" t="str">
        <f>VLOOKUP(Tabela1[[#This Row],[Cliente]],'BASE DE CLIENTES'!A:C,3,0)</f>
        <v>DF</v>
      </c>
      <c r="E7112" s="26" t="str">
        <f>CONCATENATE(Tabela1[[#This Row],[CIDADE]],",",Tabela1[[#This Row],[UF]])</f>
        <v>Brasília,DF</v>
      </c>
      <c r="F7112" s="12">
        <v>46219</v>
      </c>
      <c r="G7112" s="14">
        <v>74.599999999999994</v>
      </c>
      <c r="H7112" s="13">
        <v>140</v>
      </c>
      <c r="I7112" s="7">
        <f>Tabela1[[#This Row],[Valor total]]-Tabela1[[#This Row],[Valor custo]]</f>
        <v>65.400000000000006</v>
      </c>
      <c r="J7112" s="27">
        <f>Tabela1[[#This Row],[MARGEM BRUTA]]/Tabela1[[#This Row],[Valor total]]</f>
        <v>0.46714285714285719</v>
      </c>
      <c r="K7112" s="26" t="str">
        <f>VLOOKUP(Tabela1[[#This Row],[Cliente]],'BASE DE CLIENTES'!A:D,4,0)</f>
        <v>SERRALHEIRO</v>
      </c>
      <c r="L7112" s="26" t="str">
        <f>VLOOKUP(Tabela1[[#This Row],[Cliente]],'BASE DE CLIENTES'!A:E,5,0)</f>
        <v>CEILANDIA SUL (CEILANDIA)</v>
      </c>
    </row>
    <row r="7113" spans="2:12" x14ac:dyDescent="0.3">
      <c r="B7113" t="s">
        <v>1330</v>
      </c>
      <c r="C7113" s="26" t="str">
        <f>VLOOKUP(Tabela1[[#This Row],[Cliente]],'BASE DE CLIENTES'!A:E,2,0)</f>
        <v>Brasília</v>
      </c>
      <c r="D7113" s="26" t="str">
        <f>VLOOKUP(Tabela1[[#This Row],[Cliente]],'BASE DE CLIENTES'!A:C,3,0)</f>
        <v>DF</v>
      </c>
      <c r="E7113" s="26" t="str">
        <f>CONCATENATE(Tabela1[[#This Row],[CIDADE]],",",Tabela1[[#This Row],[UF]])</f>
        <v>Brasília,DF</v>
      </c>
      <c r="F7113" s="12">
        <v>46218</v>
      </c>
      <c r="G7113" s="14">
        <v>56.28</v>
      </c>
      <c r="H7113" s="13">
        <v>125</v>
      </c>
      <c r="I7113" s="7">
        <f>Tabela1[[#This Row],[Valor total]]-Tabela1[[#This Row],[Valor custo]]</f>
        <v>68.72</v>
      </c>
      <c r="J7113" s="27">
        <f>Tabela1[[#This Row],[MARGEM BRUTA]]/Tabela1[[#This Row],[Valor total]]</f>
        <v>0.54976000000000003</v>
      </c>
      <c r="K7113" s="26" t="str">
        <f>VLOOKUP(Tabela1[[#This Row],[Cliente]],'BASE DE CLIENTES'!A:D,4,0)</f>
        <v>CLIENTE NOVO S/ IDENT.</v>
      </c>
      <c r="L7113" s="26" t="str">
        <f>VLOOKUP(Tabela1[[#This Row],[Cliente]],'BASE DE CLIENTES'!A:E,5,0)</f>
        <v>Ceilândia</v>
      </c>
    </row>
    <row r="7114" spans="2:12" x14ac:dyDescent="0.3">
      <c r="B7114" t="s">
        <v>321</v>
      </c>
      <c r="C7114" s="26" t="str">
        <f>VLOOKUP(Tabela1[[#This Row],[Cliente]],'BASE DE CLIENTES'!A:E,2,0)</f>
        <v>Valparaíso de Goiás</v>
      </c>
      <c r="D7114" s="26" t="str">
        <f>VLOOKUP(Tabela1[[#This Row],[Cliente]],'BASE DE CLIENTES'!A:C,3,0)</f>
        <v>GO</v>
      </c>
      <c r="E7114" s="26" t="str">
        <f>CONCATENATE(Tabela1[[#This Row],[CIDADE]],",",Tabela1[[#This Row],[UF]])</f>
        <v>Valparaíso de Goiás,GO</v>
      </c>
      <c r="F7114" s="12">
        <v>46213</v>
      </c>
      <c r="G7114" s="14">
        <v>1384.79</v>
      </c>
      <c r="H7114" s="13">
        <v>2180</v>
      </c>
      <c r="I7114" s="7">
        <f>Tabela1[[#This Row],[Valor total]]-Tabela1[[#This Row],[Valor custo]]</f>
        <v>795.21</v>
      </c>
      <c r="J7114" s="27">
        <f>Tabela1[[#This Row],[MARGEM BRUTA]]/Tabela1[[#This Row],[Valor total]]</f>
        <v>0.36477522935779816</v>
      </c>
      <c r="K7114" s="26" t="str">
        <f>VLOOKUP(Tabela1[[#This Row],[Cliente]],'BASE DE CLIENTES'!A:D,4,0)</f>
        <v>EMPRESA COM MAQUINA</v>
      </c>
      <c r="L7114" s="26" t="str">
        <f>VLOOKUP(Tabela1[[#This Row],[Cliente]],'BASE DE CLIENTES'!A:E,5,0)</f>
        <v>Valparaíso de Goiás</v>
      </c>
    </row>
    <row r="7115" spans="2:12" x14ac:dyDescent="0.3">
      <c r="B7115" t="s">
        <v>1172</v>
      </c>
      <c r="C7115" s="26" t="str">
        <f>VLOOKUP(Tabela1[[#This Row],[Cliente]],'BASE DE CLIENTES'!A:E,2,0)</f>
        <v>Brasília</v>
      </c>
      <c r="D7115" s="26" t="str">
        <f>VLOOKUP(Tabela1[[#This Row],[Cliente]],'BASE DE CLIENTES'!A:C,3,0)</f>
        <v>DF</v>
      </c>
      <c r="E7115" s="26" t="str">
        <f>CONCATENATE(Tabela1[[#This Row],[CIDADE]],",",Tabela1[[#This Row],[UF]])</f>
        <v>Brasília,DF</v>
      </c>
      <c r="F7115" s="12">
        <v>46213</v>
      </c>
      <c r="G7115" s="14">
        <v>90.06</v>
      </c>
      <c r="H7115" s="13">
        <v>175.1</v>
      </c>
      <c r="I7115" s="7">
        <f>Tabela1[[#This Row],[Valor total]]-Tabela1[[#This Row],[Valor custo]]</f>
        <v>85.039999999999992</v>
      </c>
      <c r="J7115" s="27">
        <f>Tabela1[[#This Row],[MARGEM BRUTA]]/Tabela1[[#This Row],[Valor total]]</f>
        <v>0.48566533409480295</v>
      </c>
      <c r="K7115" s="26" t="str">
        <f>VLOOKUP(Tabela1[[#This Row],[Cliente]],'BASE DE CLIENTES'!A:D,4,0)</f>
        <v>CLIENTE NOVO S/ IDENT.</v>
      </c>
      <c r="L7115" s="26" t="str">
        <f>VLOOKUP(Tabela1[[#This Row],[Cliente]],'BASE DE CLIENTES'!A:E,5,0)</f>
        <v>ASA SUL</v>
      </c>
    </row>
    <row r="7116" spans="2:12" x14ac:dyDescent="0.3">
      <c r="B7116" t="s">
        <v>1221</v>
      </c>
      <c r="C7116" s="26" t="str">
        <f>VLOOKUP(Tabela1[[#This Row],[Cliente]],'BASE DE CLIENTES'!A:E,2,0)</f>
        <v>Brasília</v>
      </c>
      <c r="D7116" s="26" t="str">
        <f>VLOOKUP(Tabela1[[#This Row],[Cliente]],'BASE DE CLIENTES'!A:C,3,0)</f>
        <v>DF</v>
      </c>
      <c r="E7116" s="26" t="str">
        <f>CONCATENATE(Tabela1[[#This Row],[CIDADE]],",",Tabela1[[#This Row],[UF]])</f>
        <v>Brasília,DF</v>
      </c>
      <c r="F7116" s="12">
        <v>46213</v>
      </c>
      <c r="G7116" s="14">
        <v>380</v>
      </c>
      <c r="H7116" s="13">
        <v>625.65</v>
      </c>
      <c r="I7116" s="7">
        <f>Tabela1[[#This Row],[Valor total]]-Tabela1[[#This Row],[Valor custo]]</f>
        <v>245.64999999999998</v>
      </c>
      <c r="J7116" s="27">
        <f>Tabela1[[#This Row],[MARGEM BRUTA]]/Tabela1[[#This Row],[Valor total]]</f>
        <v>0.39263166307040676</v>
      </c>
      <c r="K7116" s="26" t="str">
        <f>VLOOKUP(Tabela1[[#This Row],[Cliente]],'BASE DE CLIENTES'!A:D,4,0)</f>
        <v>CLIENTE NOVO S/ IDENT.</v>
      </c>
      <c r="L7116" s="26" t="str">
        <f>VLOOKUP(Tabela1[[#This Row],[Cliente]],'BASE DE CLIENTES'!A:E,5,0)</f>
        <v>SAMAMBAIA SUL</v>
      </c>
    </row>
    <row r="7117" spans="2:12" x14ac:dyDescent="0.3">
      <c r="B7117" t="s">
        <v>38</v>
      </c>
      <c r="C7117" s="26" t="str">
        <f>VLOOKUP(Tabela1[[#This Row],[Cliente]],'BASE DE CLIENTES'!A:E,2,0)</f>
        <v>Brasília</v>
      </c>
      <c r="D7117" s="26" t="str">
        <f>VLOOKUP(Tabela1[[#This Row],[Cliente]],'BASE DE CLIENTES'!A:C,3,0)</f>
        <v>DF</v>
      </c>
      <c r="E7117" s="26" t="str">
        <f>CONCATENATE(Tabela1[[#This Row],[CIDADE]],",",Tabela1[[#This Row],[UF]])</f>
        <v>Brasília,DF</v>
      </c>
      <c r="F7117" s="12">
        <v>46212</v>
      </c>
      <c r="G7117" s="14">
        <v>1810</v>
      </c>
      <c r="H7117" s="13">
        <v>2945</v>
      </c>
      <c r="I7117" s="7">
        <f>Tabela1[[#This Row],[Valor total]]-Tabela1[[#This Row],[Valor custo]]</f>
        <v>1135</v>
      </c>
      <c r="J7117" s="27">
        <f>Tabela1[[#This Row],[MARGEM BRUTA]]/Tabela1[[#This Row],[Valor total]]</f>
        <v>0.38539898132427841</v>
      </c>
      <c r="K7117" s="26" t="str">
        <f>VLOOKUP(Tabela1[[#This Row],[Cliente]],'BASE DE CLIENTES'!A:D,4,0)</f>
        <v>EMPRESA SEM MAQUINA</v>
      </c>
      <c r="L7117" s="26" t="str">
        <f>VLOOKUP(Tabela1[[#This Row],[Cliente]],'BASE DE CLIENTES'!A:E,5,0)</f>
        <v>PONTE ALTA NORTE (GAMA)</v>
      </c>
    </row>
    <row r="7118" spans="2:12" x14ac:dyDescent="0.3">
      <c r="B7118" t="s">
        <v>307</v>
      </c>
      <c r="C7118" s="26" t="str">
        <f>VLOOKUP(Tabela1[[#This Row],[Cliente]],'BASE DE CLIENTES'!A:E,2,0)</f>
        <v>Uberaba</v>
      </c>
      <c r="D7118" s="26" t="str">
        <f>VLOOKUP(Tabela1[[#This Row],[Cliente]],'BASE DE CLIENTES'!A:C,3,0)</f>
        <v>MG</v>
      </c>
      <c r="E7118" s="26" t="str">
        <f>CONCATENATE(Tabela1[[#This Row],[CIDADE]],",",Tabela1[[#This Row],[UF]])</f>
        <v>Uberaba,MG</v>
      </c>
      <c r="F7118" s="12">
        <v>46210</v>
      </c>
      <c r="G7118" s="14">
        <v>9214.98</v>
      </c>
      <c r="H7118" s="13">
        <v>13350</v>
      </c>
      <c r="I7118" s="7">
        <f>Tabela1[[#This Row],[Valor total]]-Tabela1[[#This Row],[Valor custo]]</f>
        <v>4135.0200000000004</v>
      </c>
      <c r="J7118" s="27">
        <f>Tabela1[[#This Row],[MARGEM BRUTA]]/Tabela1[[#This Row],[Valor total]]</f>
        <v>0.30973932584269664</v>
      </c>
      <c r="K7118" s="26" t="str">
        <f>VLOOKUP(Tabela1[[#This Row],[Cliente]],'BASE DE CLIENTES'!A:D,4,0)</f>
        <v>EMPRESA COM MAQUINA</v>
      </c>
      <c r="L7118" s="26" t="str">
        <f>VLOOKUP(Tabela1[[#This Row],[Cliente]],'BASE DE CLIENTES'!A:E,5,0)</f>
        <v>Uberaba</v>
      </c>
    </row>
    <row r="7119" spans="2:12" x14ac:dyDescent="0.3">
      <c r="B7119" t="s">
        <v>1172</v>
      </c>
      <c r="C7119" s="26" t="str">
        <f>VLOOKUP(Tabela1[[#This Row],[Cliente]],'BASE DE CLIENTES'!A:E,2,0)</f>
        <v>Brasília</v>
      </c>
      <c r="D7119" s="26" t="str">
        <f>VLOOKUP(Tabela1[[#This Row],[Cliente]],'BASE DE CLIENTES'!A:C,3,0)</f>
        <v>DF</v>
      </c>
      <c r="E7119" s="26" t="str">
        <f>CONCATENATE(Tabela1[[#This Row],[CIDADE]],",",Tabela1[[#This Row],[UF]])</f>
        <v>Brasília,DF</v>
      </c>
      <c r="F7119" s="12">
        <v>46210</v>
      </c>
      <c r="G7119" s="14">
        <v>500</v>
      </c>
      <c r="H7119" s="13">
        <v>800</v>
      </c>
      <c r="I7119" s="7">
        <f>Tabela1[[#This Row],[Valor total]]-Tabela1[[#This Row],[Valor custo]]</f>
        <v>300</v>
      </c>
      <c r="J7119" s="27">
        <f>Tabela1[[#This Row],[MARGEM BRUTA]]/Tabela1[[#This Row],[Valor total]]</f>
        <v>0.375</v>
      </c>
      <c r="K7119" s="26" t="str">
        <f>VLOOKUP(Tabela1[[#This Row],[Cliente]],'BASE DE CLIENTES'!A:D,4,0)</f>
        <v>CLIENTE NOVO S/ IDENT.</v>
      </c>
      <c r="L7119" s="26" t="str">
        <f>VLOOKUP(Tabela1[[#This Row],[Cliente]],'BASE DE CLIENTES'!A:E,5,0)</f>
        <v>ASA SUL</v>
      </c>
    </row>
    <row r="7120" spans="2:12" x14ac:dyDescent="0.3">
      <c r="B7120" t="s">
        <v>78</v>
      </c>
      <c r="C7120" s="26" t="str">
        <f>VLOOKUP(Tabela1[[#This Row],[Cliente]],'BASE DE CLIENTES'!A:E,2,0)</f>
        <v>Brasília</v>
      </c>
      <c r="D7120" s="26" t="str">
        <f>VLOOKUP(Tabela1[[#This Row],[Cliente]],'BASE DE CLIENTES'!A:C,3,0)</f>
        <v>DF</v>
      </c>
      <c r="E7120" s="26" t="str">
        <f>CONCATENATE(Tabela1[[#This Row],[CIDADE]],",",Tabela1[[#This Row],[UF]])</f>
        <v>Brasília,DF</v>
      </c>
      <c r="F7120" s="12">
        <v>46206</v>
      </c>
      <c r="G7120" s="14">
        <v>25</v>
      </c>
      <c r="H7120" s="13">
        <v>30</v>
      </c>
      <c r="I7120" s="7">
        <f>Tabela1[[#This Row],[Valor total]]-Tabela1[[#This Row],[Valor custo]]</f>
        <v>5</v>
      </c>
      <c r="J7120" s="27">
        <f>Tabela1[[#This Row],[MARGEM BRUTA]]/Tabela1[[#This Row],[Valor total]]</f>
        <v>0.16666666666666666</v>
      </c>
      <c r="K7120" s="26" t="str">
        <f>VLOOKUP(Tabela1[[#This Row],[Cliente]],'BASE DE CLIENTES'!A:D,4,0)</f>
        <v>SERRALHEIRO</v>
      </c>
      <c r="L7120" s="26" t="str">
        <f>VLOOKUP(Tabela1[[#This Row],[Cliente]],'BASE DE CLIENTES'!A:E,5,0)</f>
        <v>Vila do Boa (São Sebastião)</v>
      </c>
    </row>
    <row r="7121" spans="2:12" x14ac:dyDescent="0.3">
      <c r="B7121" t="s">
        <v>15</v>
      </c>
      <c r="C7121" s="26" t="str">
        <f>VLOOKUP(Tabela1[[#This Row],[Cliente]],'BASE DE CLIENTES'!A:E,2,0)</f>
        <v>Brasília</v>
      </c>
      <c r="D7121" s="26" t="str">
        <f>VLOOKUP(Tabela1[[#This Row],[Cliente]],'BASE DE CLIENTES'!A:C,3,0)</f>
        <v>DF</v>
      </c>
      <c r="E7121" s="26" t="str">
        <f>CONCATENATE(Tabela1[[#This Row],[CIDADE]],",",Tabela1[[#This Row],[UF]])</f>
        <v>Brasília,DF</v>
      </c>
      <c r="F7121" s="12">
        <v>46206</v>
      </c>
      <c r="G7121" s="14">
        <v>419</v>
      </c>
      <c r="H7121" s="13">
        <v>720</v>
      </c>
      <c r="I7121" s="7">
        <f>Tabela1[[#This Row],[Valor total]]-Tabela1[[#This Row],[Valor custo]]</f>
        <v>301</v>
      </c>
      <c r="J7121" s="27">
        <f>Tabela1[[#This Row],[MARGEM BRUTA]]/Tabela1[[#This Row],[Valor total]]</f>
        <v>0.41805555555555557</v>
      </c>
      <c r="K7121" s="26" t="str">
        <f>VLOOKUP(Tabela1[[#This Row],[Cliente]],'BASE DE CLIENTES'!A:D,4,0)</f>
        <v>SERRALHEIRO</v>
      </c>
      <c r="L7121" s="26" t="str">
        <f>VLOOKUP(Tabela1[[#This Row],[Cliente]],'BASE DE CLIENTES'!A:E,5,0)</f>
        <v>SETOR HABITACIONAL VICENTE PIRES</v>
      </c>
    </row>
    <row r="7122" spans="2:12" x14ac:dyDescent="0.3">
      <c r="B7122" t="s">
        <v>85</v>
      </c>
      <c r="C7122" s="26" t="str">
        <f>VLOOKUP(Tabela1[[#This Row],[Cliente]],'BASE DE CLIENTES'!A:E,2,0)</f>
        <v>Brasília</v>
      </c>
      <c r="D7122" s="26" t="str">
        <f>VLOOKUP(Tabela1[[#This Row],[Cliente]],'BASE DE CLIENTES'!A:C,3,0)</f>
        <v>DF</v>
      </c>
      <c r="E7122" s="26" t="str">
        <f>CONCATENATE(Tabela1[[#This Row],[CIDADE]],",",Tabela1[[#This Row],[UF]])</f>
        <v>Brasília,DF</v>
      </c>
      <c r="F7122" s="12">
        <v>46205</v>
      </c>
      <c r="G7122" s="14">
        <v>380</v>
      </c>
      <c r="H7122" s="13">
        <v>500</v>
      </c>
      <c r="I7122" s="7">
        <f>Tabela1[[#This Row],[Valor total]]-Tabela1[[#This Row],[Valor custo]]</f>
        <v>120</v>
      </c>
      <c r="J7122" s="27">
        <f>Tabela1[[#This Row],[MARGEM BRUTA]]/Tabela1[[#This Row],[Valor total]]</f>
        <v>0.24</v>
      </c>
      <c r="K7122" s="26" t="str">
        <f>VLOOKUP(Tabela1[[#This Row],[Cliente]],'BASE DE CLIENTES'!A:D,4,0)</f>
        <v>SERRALHEIRO</v>
      </c>
      <c r="L7122" s="26" t="str">
        <f>VLOOKUP(Tabela1[[#This Row],[Cliente]],'BASE DE CLIENTES'!A:E,5,0)</f>
        <v>SAMAMBAIA NORTE (SAMAMBAIA)</v>
      </c>
    </row>
    <row r="7123" spans="2:12" x14ac:dyDescent="0.3">
      <c r="B7123" t="s">
        <v>106</v>
      </c>
      <c r="C7123" s="26" t="str">
        <f>VLOOKUP(Tabela1[[#This Row],[Cliente]],'BASE DE CLIENTES'!A:E,2,0)</f>
        <v>Brasília</v>
      </c>
      <c r="D7123" s="26" t="str">
        <f>VLOOKUP(Tabela1[[#This Row],[Cliente]],'BASE DE CLIENTES'!A:C,3,0)</f>
        <v>DF</v>
      </c>
      <c r="E7123" s="26" t="str">
        <f>CONCATENATE(Tabela1[[#This Row],[CIDADE]],",",Tabela1[[#This Row],[UF]])</f>
        <v>Brasília,DF</v>
      </c>
      <c r="F7123" s="12">
        <v>46232</v>
      </c>
      <c r="G7123" s="14">
        <v>0</v>
      </c>
      <c r="H7123" s="13">
        <v>450</v>
      </c>
      <c r="I7123" s="7">
        <f>Tabela1[[#This Row],[Valor total]]-Tabela1[[#This Row],[Valor custo]]</f>
        <v>450</v>
      </c>
      <c r="J7123" s="27">
        <f>Tabela1[[#This Row],[MARGEM BRUTA]]/Tabela1[[#This Row],[Valor total]]</f>
        <v>1</v>
      </c>
      <c r="K7123" s="26" t="str">
        <f>VLOOKUP(Tabela1[[#This Row],[Cliente]],'BASE DE CLIENTES'!A:D,4,0)</f>
        <v>EMPRESA COM MAQUINA</v>
      </c>
      <c r="L7123" s="26" t="str">
        <f>VLOOKUP(Tabela1[[#This Row],[Cliente]],'BASE DE CLIENTES'!A:E,5,0)</f>
        <v>26 DE SETEMBRO</v>
      </c>
    </row>
    <row r="7124" spans="2:12" x14ac:dyDescent="0.3">
      <c r="B7124" t="s">
        <v>78</v>
      </c>
      <c r="C7124" s="26" t="str">
        <f>VLOOKUP(Tabela1[[#This Row],[Cliente]],'BASE DE CLIENTES'!A:E,2,0)</f>
        <v>Brasília</v>
      </c>
      <c r="D7124" s="26" t="str">
        <f>VLOOKUP(Tabela1[[#This Row],[Cliente]],'BASE DE CLIENTES'!A:C,3,0)</f>
        <v>DF</v>
      </c>
      <c r="E7124" s="26" t="str">
        <f>CONCATENATE(Tabela1[[#This Row],[CIDADE]],",",Tabela1[[#This Row],[UF]])</f>
        <v>Brasília,DF</v>
      </c>
      <c r="F7124" s="12">
        <v>46232</v>
      </c>
      <c r="G7124" s="14">
        <v>0</v>
      </c>
      <c r="H7124" s="13">
        <v>440</v>
      </c>
      <c r="I7124" s="7">
        <f>Tabela1[[#This Row],[Valor total]]-Tabela1[[#This Row],[Valor custo]]</f>
        <v>440</v>
      </c>
      <c r="J7124" s="27">
        <f>Tabela1[[#This Row],[MARGEM BRUTA]]/Tabela1[[#This Row],[Valor total]]</f>
        <v>1</v>
      </c>
      <c r="K7124" s="26" t="str">
        <f>VLOOKUP(Tabela1[[#This Row],[Cliente]],'BASE DE CLIENTES'!A:D,4,0)</f>
        <v>SERRALHEIRO</v>
      </c>
      <c r="L7124" s="26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910"/>
  <sheetViews>
    <sheetView showGridLines="0" topLeftCell="A892" workbookViewId="0">
      <selection activeCell="C905" sqref="C905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topLeftCell="A396" workbookViewId="0">
      <selection activeCell="D405" sqref="D405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3" spans="1:5" x14ac:dyDescent="0.3">
      <c r="A413" s="25" t="s">
        <v>1330</v>
      </c>
      <c r="B413" s="1" t="s">
        <v>360</v>
      </c>
      <c r="C413" s="1" t="s">
        <v>361</v>
      </c>
      <c r="D413" s="8" t="s">
        <v>486</v>
      </c>
      <c r="E413" s="1" t="s">
        <v>779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9"/>
  <sheetViews>
    <sheetView topLeftCell="A69" workbookViewId="0">
      <selection activeCell="G44" sqref="G44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  <c r="F42" s="24" t="s">
        <v>1327</v>
      </c>
      <c r="G42" t="s">
        <v>1329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  <c r="F43" s="24" t="s">
        <v>1328</v>
      </c>
      <c r="G43" t="s">
        <v>1301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9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  <row r="192" spans="1:3" x14ac:dyDescent="0.3">
      <c r="A192" s="23" t="s">
        <v>1326</v>
      </c>
      <c r="B192" s="24" t="s">
        <v>1327</v>
      </c>
      <c r="C192" s="24" t="str">
        <f t="shared" si="2"/>
        <v>MAQUINÁRIO</v>
      </c>
    </row>
    <row r="193" spans="1:3" x14ac:dyDescent="0.3">
      <c r="A193" s="23" t="s">
        <v>1319</v>
      </c>
      <c r="B193" s="24" t="s">
        <v>1280</v>
      </c>
      <c r="C193" s="24" t="str">
        <f t="shared" si="2"/>
        <v>ACESSÓRIOS</v>
      </c>
    </row>
    <row r="194" spans="1:3" x14ac:dyDescent="0.3">
      <c r="A194" s="23" t="s">
        <v>1323</v>
      </c>
      <c r="B194" s="24" t="s">
        <v>1269</v>
      </c>
      <c r="C194" s="24" t="str">
        <f t="shared" si="2"/>
        <v>LINHA MOTOR</v>
      </c>
    </row>
    <row r="195" spans="1:3" x14ac:dyDescent="0.3">
      <c r="A195" s="23" t="s">
        <v>1324</v>
      </c>
      <c r="B195" s="24" t="s">
        <v>1328</v>
      </c>
      <c r="C195" s="24" t="str">
        <f t="shared" si="2"/>
        <v>ACESSÓRIOS</v>
      </c>
    </row>
    <row r="196" spans="1:3" x14ac:dyDescent="0.3">
      <c r="A196" s="23" t="s">
        <v>1325</v>
      </c>
      <c r="B196" s="24" t="s">
        <v>1292</v>
      </c>
      <c r="C196" s="24" t="str">
        <f t="shared" si="2"/>
        <v>MÃO DE OBRA</v>
      </c>
    </row>
    <row r="197" spans="1:3" x14ac:dyDescent="0.3">
      <c r="A197" s="23" t="s">
        <v>1321</v>
      </c>
      <c r="B197" s="24" t="s">
        <v>1275</v>
      </c>
      <c r="C197" s="24" t="str">
        <f t="shared" si="2"/>
        <v>ACESSÓRIOS</v>
      </c>
    </row>
    <row r="198" spans="1:3" x14ac:dyDescent="0.3">
      <c r="A198" s="23" t="s">
        <v>1320</v>
      </c>
      <c r="B198" s="24" t="s">
        <v>1287</v>
      </c>
      <c r="C198" s="24" t="str">
        <f t="shared" si="2"/>
        <v>OUTROS</v>
      </c>
    </row>
    <row r="199" spans="1:3" x14ac:dyDescent="0.3">
      <c r="A199" s="23" t="s">
        <v>1322</v>
      </c>
      <c r="B199" s="24" t="s">
        <v>1271</v>
      </c>
      <c r="C199" s="24" t="str">
        <f t="shared" si="2"/>
        <v>LINHA MOTOR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2026-08-12T18:28:43Z</dcterms:modified>
</cp:coreProperties>
</file>